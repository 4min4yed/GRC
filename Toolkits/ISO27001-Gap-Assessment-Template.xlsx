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50061479\Documents\AutoFormation\GRC &amp; Auditing\ISO\Toolkits\"/>
    </mc:Choice>
  </mc:AlternateContent>
  <xr:revisionPtr revIDLastSave="0" documentId="13_ncr:1_{9000C6C6-BF2C-413D-BA02-5C8294EAB853}" xr6:coauthVersionLast="47" xr6:coauthVersionMax="47" xr10:uidLastSave="{00000000-0000-0000-0000-000000000000}"/>
  <bookViews>
    <workbookView xWindow="-108" yWindow="-108" windowWidth="23256" windowHeight="13896" activeTab="2" xr2:uid="{A2EB6066-595F-DB49-A1C0-C8F15C9F7249}"/>
  </bookViews>
  <sheets>
    <sheet name="Dashboard" sheetId="23" r:id="rId1"/>
    <sheet name="Pivots" sheetId="15" r:id="rId2"/>
    <sheet name="Sheet1" sheetId="24" r:id="rId3"/>
    <sheet name="Requirements" sheetId="6" r:id="rId4"/>
    <sheet name="Dropdowns" sheetId="8" state="hidden" r:id="rId5"/>
  </sheets>
  <definedNames>
    <definedName name="allInfRef">#REF!</definedName>
    <definedName name="calcCellColor">#REF!</definedName>
    <definedName name="calcError">#REF!</definedName>
    <definedName name="calcNone">#REF!</definedName>
    <definedName name="CBcontrolType">#REF!</definedName>
    <definedName name="CBriskDesc">#REF!</definedName>
    <definedName name="CombinationControl">#REF!</definedName>
    <definedName name="countBlanks">#REF!</definedName>
    <definedName name="csfSubcategory">#REF!</definedName>
    <definedName name="dateOfRecord">#REF!</definedName>
    <definedName name="detectScore">#REF!</definedName>
    <definedName name="disclaimerCell">#REF!</definedName>
    <definedName name="earliestAssessment">#REF!</definedName>
    <definedName name="familyIDs">#REF!</definedName>
    <definedName name="goRefs">#REF!</definedName>
    <definedName name="greenAbove">#REF!</definedName>
    <definedName name="identifyScore">#REF!</definedName>
    <definedName name="impactHigh">#REF!</definedName>
    <definedName name="impactLow">#REF!</definedName>
    <definedName name="impactMedium">#REF!</definedName>
    <definedName name="impactScale">#REF!</definedName>
    <definedName name="informationCell">#REF!</definedName>
    <definedName name="InScopeOptions" comment="Dropdown options that should be shown when a source is in scope">Dropdowns!$B$2:$B$5</definedName>
    <definedName name="label025">#REF!</definedName>
    <definedName name="label025NB">#REF!</definedName>
    <definedName name="labelYN">#REF!</definedName>
    <definedName name="labelYNNB">#REF!</definedName>
    <definedName name="latestAssessment">#REF!</definedName>
    <definedName name="minAnsQuestions">#REF!</definedName>
    <definedName name="nameOfFirm">#REF!</definedName>
    <definedName name="nist53revision">#REF!</definedName>
    <definedName name="NotInScopeOptions" comment="Dropdown option when the Source is Not in Scope ">Dropdowns!#REF!</definedName>
    <definedName name="protectScore">#REF!</definedName>
    <definedName name="recoverScore">#REF!</definedName>
    <definedName name="redBelow">#REF!</definedName>
    <definedName name="resetControl">#REF!</definedName>
    <definedName name="respondScore">#REF!</definedName>
    <definedName name="responsibleParty">#REF!</definedName>
    <definedName name="riskMaximum">#REF!</definedName>
    <definedName name="riskMinimum">#REF!</definedName>
    <definedName name="riskRange">#REF!</definedName>
    <definedName name="riskStrategies">#REF!</definedName>
    <definedName name="scaleChoices">#REF!</definedName>
    <definedName name="scaleType">#REF!</definedName>
    <definedName name="scoreHigh">#REF!</definedName>
    <definedName name="scoreLabel">#REF!</definedName>
    <definedName name="scoreLow">#REF!</definedName>
    <definedName name="scoreMedium">#REF!</definedName>
    <definedName name="setHighScore">#REF!</definedName>
    <definedName name="setLowScore">#REF!</definedName>
    <definedName name="subCatList">#REF!</definedName>
    <definedName name="toggleSCriskRegister">#REF!</definedName>
    <definedName name="userV1">#REF!</definedName>
    <definedName name="userV2">#REF!</definedName>
    <definedName name="userV3">#REF!</definedName>
    <definedName name="userV4">#REF!</definedName>
    <definedName name="userV5">#REF!</definedName>
    <definedName name="workbookVersion">#REF!</definedName>
    <definedName name="yesNo">#REF!</definedName>
    <definedName name="yesNoNA">#REF!</definedName>
    <definedName name="zero2Fiv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 i="15" l="1"/>
  <c r="F27" i="15"/>
  <c r="E27" i="15"/>
  <c r="D27" i="15"/>
  <c r="C27" i="15"/>
  <c r="G26" i="15"/>
  <c r="F26" i="15"/>
  <c r="E26" i="15"/>
  <c r="D26" i="15"/>
  <c r="C26" i="15"/>
  <c r="G25" i="15"/>
  <c r="F25" i="15"/>
  <c r="E25" i="15"/>
  <c r="D25" i="15"/>
  <c r="C25" i="15"/>
  <c r="G24" i="15"/>
  <c r="F24" i="15"/>
  <c r="E24" i="15"/>
  <c r="D24" i="15"/>
  <c r="C24" i="15"/>
  <c r="G23" i="15"/>
  <c r="F23" i="15"/>
  <c r="E23" i="15"/>
  <c r="D23" i="15"/>
  <c r="C23" i="15"/>
  <c r="G22" i="15"/>
  <c r="F22" i="15"/>
  <c r="E22" i="15"/>
  <c r="D22" i="15"/>
  <c r="C22" i="15"/>
  <c r="G21" i="15"/>
  <c r="F21" i="15"/>
  <c r="E21" i="15"/>
  <c r="D21" i="15"/>
  <c r="C21" i="15"/>
  <c r="G20" i="15"/>
  <c r="F20" i="15"/>
  <c r="E20" i="15"/>
  <c r="D20" i="15"/>
  <c r="C20" i="15"/>
  <c r="G19" i="15"/>
  <c r="F19" i="15"/>
  <c r="E19" i="15"/>
  <c r="D19" i="15"/>
  <c r="C19" i="15"/>
  <c r="G18" i="15"/>
  <c r="F18" i="15"/>
  <c r="E18" i="15"/>
  <c r="D18" i="15"/>
  <c r="C18" i="15"/>
  <c r="F10" i="15"/>
  <c r="F9" i="15"/>
  <c r="F17" i="15"/>
  <c r="G17" i="15"/>
  <c r="E17" i="15"/>
  <c r="D17" i="15"/>
  <c r="C17" i="15"/>
  <c r="E10" i="15"/>
  <c r="E9" i="15"/>
  <c r="D10" i="15"/>
  <c r="D9" i="15"/>
  <c r="C10" i="15"/>
  <c r="G10" i="15"/>
  <c r="G9" i="15"/>
  <c r="C9" i="15"/>
  <c r="H24" i="15" l="1"/>
  <c r="H21" i="15"/>
  <c r="H20" i="15"/>
  <c r="H27" i="15"/>
  <c r="E11" i="15"/>
  <c r="F11" i="15"/>
  <c r="H26" i="15"/>
  <c r="G11" i="15"/>
  <c r="H18" i="15"/>
  <c r="H23" i="15"/>
  <c r="H19" i="15"/>
  <c r="H25" i="15"/>
  <c r="H9" i="15"/>
  <c r="H22" i="15"/>
  <c r="H10" i="15"/>
  <c r="H17" i="15"/>
  <c r="D11" i="15"/>
  <c r="C11" i="15"/>
  <c r="H11" i="15" l="1"/>
</calcChain>
</file>

<file path=xl/sharedStrings.xml><?xml version="1.0" encoding="utf-8"?>
<sst xmlns="http://schemas.openxmlformats.org/spreadsheetml/2006/main" count="694" uniqueCount="302">
  <si>
    <t>Notes</t>
  </si>
  <si>
    <t>Compliance</t>
  </si>
  <si>
    <t>Partially Compliant</t>
  </si>
  <si>
    <t>Not Compliant</t>
  </si>
  <si>
    <t>Fully Compliant</t>
  </si>
  <si>
    <t>Grand Total</t>
  </si>
  <si>
    <t>Not Applicable</t>
  </si>
  <si>
    <t>Section</t>
  </si>
  <si>
    <t>j</t>
  </si>
  <si>
    <t>Category</t>
  </si>
  <si>
    <t>Mandatory Clauses</t>
  </si>
  <si>
    <t>Annex A Controls</t>
  </si>
  <si>
    <t>4 - Context of the organization</t>
  </si>
  <si>
    <t>5 - Leadership</t>
  </si>
  <si>
    <t>6 - Planning</t>
  </si>
  <si>
    <t>7 - Support</t>
  </si>
  <si>
    <t>8 - Operation</t>
  </si>
  <si>
    <t>9 - Performance evaluation</t>
  </si>
  <si>
    <t>10 - Improvement</t>
  </si>
  <si>
    <t>A.5 - Organizational controls</t>
  </si>
  <si>
    <t>A.6 - People controls</t>
  </si>
  <si>
    <t>A.7 - Physical controls</t>
  </si>
  <si>
    <t>A.8 - Technological controls</t>
  </si>
  <si>
    <t>Clause-4.1</t>
  </si>
  <si>
    <t>Clause-4.2</t>
  </si>
  <si>
    <t>Clause-4.3</t>
  </si>
  <si>
    <t>Clause-4.4</t>
  </si>
  <si>
    <t>Clause-5.1</t>
  </si>
  <si>
    <t>Clause-5.2</t>
  </si>
  <si>
    <t>Clause-5.3</t>
  </si>
  <si>
    <t>Clause-6.1.1</t>
  </si>
  <si>
    <t>Clause-6.1.2</t>
  </si>
  <si>
    <t>Clause-6.1.3</t>
  </si>
  <si>
    <t>Clause-6.2</t>
  </si>
  <si>
    <t>Clause-7.1</t>
  </si>
  <si>
    <t>Clause-7.2</t>
  </si>
  <si>
    <t>Clause-7.3</t>
  </si>
  <si>
    <t>Clause-7.4</t>
  </si>
  <si>
    <t>Clause-7.5.1</t>
  </si>
  <si>
    <t>Clause-7.5.2</t>
  </si>
  <si>
    <t>Clause-7.5.3</t>
  </si>
  <si>
    <t>Clause-8.1</t>
  </si>
  <si>
    <t>Clause-8.2</t>
  </si>
  <si>
    <t>Clause-8.3</t>
  </si>
  <si>
    <t>Clause-9.1</t>
  </si>
  <si>
    <t>Clause-9.2.1</t>
  </si>
  <si>
    <t>Clause-9.2.2</t>
  </si>
  <si>
    <t>Clause-9.3.1</t>
  </si>
  <si>
    <t>Clause-9.3.2</t>
  </si>
  <si>
    <t>Clause-9.3.3</t>
  </si>
  <si>
    <t>Clause-10.1</t>
  </si>
  <si>
    <t>Clause-10.2</t>
  </si>
  <si>
    <t>Control-5.1</t>
  </si>
  <si>
    <t>Control-5.2</t>
  </si>
  <si>
    <t>Control-5.3</t>
  </si>
  <si>
    <t>Control-5.4</t>
  </si>
  <si>
    <t>Control-5.5</t>
  </si>
  <si>
    <t>Control-5.6</t>
  </si>
  <si>
    <t>Control-5.7</t>
  </si>
  <si>
    <t>Control-5.8</t>
  </si>
  <si>
    <t>Control-5.9</t>
  </si>
  <si>
    <t>Control-5.10</t>
  </si>
  <si>
    <t>Control-5.11</t>
  </si>
  <si>
    <t>Control-5.12</t>
  </si>
  <si>
    <t>Control-5.13</t>
  </si>
  <si>
    <t>Control-5.14</t>
  </si>
  <si>
    <t>Control-5.15</t>
  </si>
  <si>
    <t>Control-5.16</t>
  </si>
  <si>
    <t>Control-5.17</t>
  </si>
  <si>
    <t>Control-5.18</t>
  </si>
  <si>
    <t>Control-5.19</t>
  </si>
  <si>
    <t>Control-5.20</t>
  </si>
  <si>
    <t>Control-5.21</t>
  </si>
  <si>
    <t>Control-5.22</t>
  </si>
  <si>
    <t>Control-5.23</t>
  </si>
  <si>
    <t>Control-5.24</t>
  </si>
  <si>
    <t>Control-5.25</t>
  </si>
  <si>
    <t>Control-5.26</t>
  </si>
  <si>
    <t>Control-5.27</t>
  </si>
  <si>
    <t>Control-5.28</t>
  </si>
  <si>
    <t>Control-5.29</t>
  </si>
  <si>
    <t>Control-5.30</t>
  </si>
  <si>
    <t>Control-5.31</t>
  </si>
  <si>
    <t>Control-5.32</t>
  </si>
  <si>
    <t>Control-5.33</t>
  </si>
  <si>
    <t>Control-5.34</t>
  </si>
  <si>
    <t>Control-5.35</t>
  </si>
  <si>
    <t>Control-5.36</t>
  </si>
  <si>
    <t>Control-5.37</t>
  </si>
  <si>
    <t>Control-6.1</t>
  </si>
  <si>
    <t>Control-6.2</t>
  </si>
  <si>
    <t>Control-6.3</t>
  </si>
  <si>
    <t>Control-6.4</t>
  </si>
  <si>
    <t>Control-6.5</t>
  </si>
  <si>
    <t>Control-6.6</t>
  </si>
  <si>
    <t>Control-6.7</t>
  </si>
  <si>
    <t>Control-6.8</t>
  </si>
  <si>
    <t>Control-7.1</t>
  </si>
  <si>
    <t>Control-7.2</t>
  </si>
  <si>
    <t>Control-7.3</t>
  </si>
  <si>
    <t>Control-7.4</t>
  </si>
  <si>
    <t>Control-7.5</t>
  </si>
  <si>
    <t>Control-7.6</t>
  </si>
  <si>
    <t>Control-7.7</t>
  </si>
  <si>
    <t>Control-7.8</t>
  </si>
  <si>
    <t>Control-7.9</t>
  </si>
  <si>
    <t>Control-7.10</t>
  </si>
  <si>
    <t>Control-7.11</t>
  </si>
  <si>
    <t>Control-7.12</t>
  </si>
  <si>
    <t>Control-7.13</t>
  </si>
  <si>
    <t>Control-7.14</t>
  </si>
  <si>
    <t>Control-8.1</t>
  </si>
  <si>
    <t>Control-8.2</t>
  </si>
  <si>
    <t>Control-8.3</t>
  </si>
  <si>
    <t>Control-8.4</t>
  </si>
  <si>
    <t>Control-8.5</t>
  </si>
  <si>
    <t>Control-8.6</t>
  </si>
  <si>
    <t>Control-8.7</t>
  </si>
  <si>
    <t>Control-8.8</t>
  </si>
  <si>
    <t>Control-8.9</t>
  </si>
  <si>
    <t>Control-8.10</t>
  </si>
  <si>
    <t>Control-8.11</t>
  </si>
  <si>
    <t>Control-8.12</t>
  </si>
  <si>
    <t>Control-8.13</t>
  </si>
  <si>
    <t>Control-8.14</t>
  </si>
  <si>
    <t>Control-8.15</t>
  </si>
  <si>
    <t>Control-8.16</t>
  </si>
  <si>
    <t>Control-8.17</t>
  </si>
  <si>
    <t>Control-8.18</t>
  </si>
  <si>
    <t>Control-8.19</t>
  </si>
  <si>
    <t>Control-8.20</t>
  </si>
  <si>
    <t>Control-8.21</t>
  </si>
  <si>
    <t>Control-8.22</t>
  </si>
  <si>
    <t>Control-8.23</t>
  </si>
  <si>
    <t>Control-8.24</t>
  </si>
  <si>
    <t>Control-8.25</t>
  </si>
  <si>
    <t>Control-8.26</t>
  </si>
  <si>
    <t>Control-8.27</t>
  </si>
  <si>
    <t>Control-8.28</t>
  </si>
  <si>
    <t>Control-8.29</t>
  </si>
  <si>
    <t>Control-8.30</t>
  </si>
  <si>
    <t>Control-8.31</t>
  </si>
  <si>
    <t>Control-8.32</t>
  </si>
  <si>
    <t>Control-8.33</t>
  </si>
  <si>
    <t>Control-8.34</t>
  </si>
  <si>
    <t>Assessment Question</t>
  </si>
  <si>
    <t>Standard Ref</t>
  </si>
  <si>
    <t>Total</t>
  </si>
  <si>
    <t>% Compliance</t>
  </si>
  <si>
    <t>Compliance options</t>
  </si>
  <si>
    <t>Has the organization identified relevant internal and external issues that has the potential to affect its ISMS achieving its intended outcomes?</t>
  </si>
  <si>
    <t>Has the organization identified the interested parties relevant to the ISMS, their applicable requirements, and determined which of those requirements will be addressed by the system?</t>
  </si>
  <si>
    <t>Has the organization defined the scope and applicability of its information security management system, taking into account internal and external issues, relevant requirements of interested parties, and interfaces or dependencies with external organizations and documented this scope?</t>
  </si>
  <si>
    <t>Has the organization established, implemented, maintained, and continually improved an information security management system—along with the necessary processes and their interactions—in accordance with the applicable requirements?</t>
  </si>
  <si>
    <t>Has top management demonstrated leadership and commitment to the information security management system by ensuring alignment with strategic direction, integrating ISMS requirements into business processes, allocating necessary resources, promoting awareness and continual improvement, and supporting roles and responsibilities throughout the organization?</t>
  </si>
  <si>
    <t>Has top management established an information security policy that is appropriate to the organization’s purpose, supports the setting of information security objectives, includes commitments to applicable requirements and continual improvement—and is documented, communicated internally, and made available to relevant interested parties?</t>
  </si>
  <si>
    <t>Has top management assigned and communicated responsibilities and authorities for roles relevant to information security, including ensuring ISMS conformance and reporting its performance?</t>
  </si>
  <si>
    <t>Has the organization identified risks and opportunities related to internal/external issues and interested parties' requirements, and planned actions to address them—ensuring integration into ISMS processes and evaluation of their effectiveness?</t>
  </si>
  <si>
    <t>Has the organization defined and applied an information security risk assessment process that includes criteria for risk acceptance and assessment, ensures consistent and comparable results, identifies risks and risk owners, analyzes consequences and likelihood, determines risk levels, evaluates risks against criteria, prioritizes them for treatment, and is documented?</t>
  </si>
  <si>
    <t>Has the organization defined and applied an information security risk treatment process that includes selecting treatment options based on risk assessment results, identifying necessary controls, verifying against Annex A, producing a Statement of Applicability with justifications, formulating a risk treatment plan, obtaining risk owners’ approval and acceptance of residual risks—and documenting the entire process?</t>
  </si>
  <si>
    <t>Has the organization established information security objectives at relevant levels that are consistent with the information security policy, measurable (where practicable), based on applicable requirements and risk results, and are monitored, communicated, updated when needed, and documented—along with clear plans detailing actions, responsibilities, timelines, required resources, and evaluation methods?</t>
  </si>
  <si>
    <t>Has the organization determined and provided the resources needed to establish, implement, maintain, and continually improve the information security management system?</t>
  </si>
  <si>
    <t>Has the organization determined the necessary competence for individuals affecting information security performance, ensured they are competent through education, training, or experience, taken action where needed to address gaps, evaluated the effectiveness of those actions, and retained documented evidence of competence?</t>
  </si>
  <si>
    <t>Are individuals working under the organization’s control aware of the information security policy, their role in contributing to ISMS effectiveness and improved performance, and the implications of not conforming to ISMS requirements?</t>
  </si>
  <si>
    <t>Has the organization determined the need for internal and external communications relevant to the ISMS, including what, when, with whom, and how to communicate?</t>
  </si>
  <si>
    <t>Does the organization’s ISMS include both the documented information required by the standard and any additional documentation deemed necessary for its effectiveness?</t>
  </si>
  <si>
    <t>When creating or updating documented information, does the organization ensure proper identification and description, appropriate format and media, and that the information is reviewed and approved for suitability and adequacy?</t>
  </si>
  <si>
    <t>Is documented information required by the ISMS and the standard properly controlled to ensure it is available when needed, adequately protected, and managed in terms of distribution, access, storage, version control, retention, and disposal—including any necessary external documentation?</t>
  </si>
  <si>
    <t>Has the organization planned, implemented, and controlled the necessary processes to meet ISMS requirements and actions from Clause 6, by setting process criteria, controlling them accordingly, maintaining necessary documentation, managing planned and unintended changes, and ensuring control over externally provided processes, products, or services?</t>
  </si>
  <si>
    <t>Does the organization perform information security risk assessments at planned intervals or when significant changes occur, based on the established risk assessment criteria—and retain documented results of these assessments?</t>
  </si>
  <si>
    <t>Has the organization implemented the information security risk treatment plan and retained documented information on the results of the treatment?</t>
  </si>
  <si>
    <t>Has the organization determined what needs to be monitored and measured—including ISMS processes and controls—the methods to ensure valid results, the timing and responsible persons for monitoring and evaluation, and retained documented evidence of the results, including evaluations of ISMS performance and effectiveness?</t>
  </si>
  <si>
    <t>Does the organization conduct internal audits at planned intervals to verify that the ISMS conforms to both internal requirements and the standard, and that it is effectively implemented and maintained?</t>
  </si>
  <si>
    <t>Has the organization established and maintained an internal audit programme that defines frequency, methods, responsibilities, planning, and reporting—taking into account process importance and past audit results—and does it include defined criteria and scope, objective and impartial auditors, reporting to relevant management, and documented evidence of both the programme and its results?</t>
  </si>
  <si>
    <t>Does top management review the organization’s ISMS at planned intervals to ensure its continuing suitability, adequacy, and effectiveness?</t>
  </si>
  <si>
    <t>Does the management review include consideration of previous review actions, changes in internal/external issues and stakeholder expectations, feedback on ISMS performance (including trends in nonconformities, monitoring, audits, and objectives), feedback from interested parties, results of risk assessment and treatment, and opportunities for continual improvement?</t>
  </si>
  <si>
    <t>Do the results of the management review include decisions on continual improvement and necessary changes to the ISMS, and are these results documented?</t>
  </si>
  <si>
    <t>Does the organization continually improve the suitability, adequacy, and effectiveness of its information security management system?</t>
  </si>
  <si>
    <t>When a nonconformity occurs, does the organization take action to control and correct it, address the consequences, evaluate the need for corrective action to prevent recurrence, implement necessary actions, review their effectiveness, and update the ISMS if needed—with documented evidence of the nonconformity, actions taken, and corrective action results?</t>
  </si>
  <si>
    <t>Are the information security policy and topic-specific policies defined, approved by management, published, communicated to and acknowledged by relevant personnel and interested parties, and reviewed at planned intervals or when significant changes occur?</t>
  </si>
  <si>
    <t>Are information security roles and responsibilities defined and allocated based on the organization’s needs?</t>
  </si>
  <si>
    <t>Are conflicting duties and areas of responsibility segregated to prevent unauthorized or unintentional actions?</t>
  </si>
  <si>
    <t>Does management require all personnel to follow the established information security policy, topic-specific policies, and procedures?</t>
  </si>
  <si>
    <t>Has the organization established and maintained contact with relevant authorities?</t>
  </si>
  <si>
    <t>To what extent has the organization established and maintained contact with special interest groups, specialist security forums, or professional associations?</t>
  </si>
  <si>
    <t>Does the organization collect and analyze threat information to produce threat intelligence, as required?</t>
  </si>
  <si>
    <t>Is information security consistently integrated into the organization’s project management processes?</t>
  </si>
  <si>
    <t>Is an inventory of information and associated assets, including assigned owners, developed and maintained by the organization?</t>
  </si>
  <si>
    <t>Has the organization identified, documented, and implemented rules for acceptable use and handling of information and associated assets?</t>
  </si>
  <si>
    <t>Does the organization require and ensure the return of all its assets from personnel and other relevant parties upon change or termination of employment, contract, or agreement?</t>
  </si>
  <si>
    <t>Has the organization classified information in accordance with its security needs, considering confidentiality, integrity, availability, and relevant interested party requirements?</t>
  </si>
  <si>
    <t>Has the organization established and implemented procedures for information labelling that align with its adopted information classification scheme?</t>
  </si>
  <si>
    <t>Has the organization put in place rules, procedures, or agreements for all types of information transfer within the organization and with other parties?</t>
  </si>
  <si>
    <t>Has the organization established and implemented rules to control physical and logical access to information and associated assets based on business and information security requirements?</t>
  </si>
  <si>
    <t>Is the organization managing the full life cycle of identities in accordance with its security and operational requirements?</t>
  </si>
  <si>
    <t>Is there a management process in place to control the allocation and management of authentication information, including guidance for personnel on its appropriate handling?</t>
  </si>
  <si>
    <t>Are access rights to information and associated assets managed—provisioned, reviewed, modified, and removed—in accordance with the organization's access control policy and rules?</t>
  </si>
  <si>
    <t>Has the organization established and implemented processes and procedures to manage the information security risks associated with using supplier products or services?</t>
  </si>
  <si>
    <t>Has the organization established and agreed upon relevant information security requirements with each supplier, appropriate to the type of supplier relationship?</t>
  </si>
  <si>
    <t>Has the organization established and implemented processes and procedures to manage the information security risks related to the ICT products and services supply chain?</t>
  </si>
  <si>
    <t>Has the organization established processes to regularly monitor, review, evaluate, and manage changes in supplier information security practices and service delivery?</t>
  </si>
  <si>
    <t>Has the organization defined and implemented processes for acquiring, using, managing, and exiting from cloud services in alignment with its information security requirements?</t>
  </si>
  <si>
    <t>Has the organization planned and prepared for managing information security incidents by defining, establishing, and communicating the necessary processes, roles, and responsibilities?</t>
  </si>
  <si>
    <t>Has the organization established a process to assess information security events and decide if they qualify as information security incidents?</t>
  </si>
  <si>
    <t>Is the organization responding to information security incidents according to its documented procedures?</t>
  </si>
  <si>
    <t>Does the organization utilize knowledge gained from information security incidents to enhance its information security controls?</t>
  </si>
  <si>
    <t>Has the organization defined and implemented procedures to identify, collect, acquire, and preserve evidence related to information security events?</t>
  </si>
  <si>
    <t>Has the organization developed plans to maintain information security at an appropriate level during disruptions?</t>
  </si>
  <si>
    <t>Has the organization planned, implemented, maintained, and tested ICT readiness based on its business continuity objectives and ICT continuity requirements?</t>
  </si>
  <si>
    <t>Has the organization identified, documented, and maintained up-to-date legal, statutory, regulatory, and contractual requirements relevant to information security, including its approach to compliance?</t>
  </si>
  <si>
    <t>Has the organization put in place appropriate procedures to ensure the protection of intellectual property rights?</t>
  </si>
  <si>
    <t>Has the organization implemented measures to protect records from loss, destruction, falsification, unauthorized access, and unauthorized release?</t>
  </si>
  <si>
    <t>Has the organization identified and fulfilled the requirements related to privacy preservation and PII protection in accordance with relevant laws, regulations, and contractual requirements?</t>
  </si>
  <si>
    <t>Has the organization ensured that its approach to managing information security—covering people, processes, and technologies—is independently reviewed at planned intervals or when significant changes occur?</t>
  </si>
  <si>
    <t>Has the organization established a process to regularly review compliance with its information security policy, topic-specific policies, rules, and standards?</t>
  </si>
  <si>
    <t>Has the organization documented operating procedures for information processing facilities and ensured they are available to personnel who require them?</t>
  </si>
  <si>
    <t>Has the organization implemented background verification checks for all candidates prior to employment and on an ongoing basis, aligned with applicable laws, ethics, business requirements, and risk levels?</t>
  </si>
  <si>
    <t>Have the organization’s employment contractual agreements defined the responsibilities of personnel and the organization regarding information security?</t>
  </si>
  <si>
    <t>Has the organization ensured that personnel and relevant interested parties receive appropriate information security awareness, training, and regular updates aligned with their job functions and responsibilities?</t>
  </si>
  <si>
    <t>Has the organization established and communicated a disciplinary process to address information security policy violations by personnel and other relevant interested parties?</t>
  </si>
  <si>
    <t>Has the organization defined, enforced, and communicated post-employment or role change information security responsibilities to relevant personnel and interested parties?</t>
  </si>
  <si>
    <t>Has the organization identified, documented, regularly reviewed, and ensured the signing of confidentiality or non-disclosure agreements by personnel and relevant interested parties?</t>
  </si>
  <si>
    <t>Has the organization implemented appropriate security measures to protect information accessed, processed, or stored outside its premises by remote personnel?</t>
  </si>
  <si>
    <t>Has the organization implemented a timely and appropriate mechanism for personnel to report observed or suspected information security events?</t>
  </si>
  <si>
    <t>Has the organization defined and applied security perimeters to safeguard areas that contain information and associated assets?</t>
  </si>
  <si>
    <t>Has the organization implemented appropriate entry controls and managed access points to protect secure areas?</t>
  </si>
  <si>
    <t>Has the organization designed and implemented physical security for its offices, rooms, and facilities?</t>
  </si>
  <si>
    <t>Has the organization implemented continuous monitoring of its premises to detect unauthorized physical access?</t>
  </si>
  <si>
    <t>Has the organization established and implemented protections against physical and environmental threats and other risks to infrastructure?</t>
  </si>
  <si>
    <t>Has the organization designed and implemented appropriate security measures for working in secure areas?</t>
  </si>
  <si>
    <t>Has the organization defined and enforced clear desk and clear screen rules to protect papers, removable storage media, and information processing facilities?</t>
  </si>
  <si>
    <t>Has the organization ensured that equipment is securely sited and appropriately protected?</t>
  </si>
  <si>
    <t>Has the organization ensured that off-site assets are protected in accordance with its information security requirements?</t>
  </si>
  <si>
    <t>Has the organization implemented controls to manage storage media across its life cycle, in accordance with its classification scheme and handling requirements?</t>
  </si>
  <si>
    <t>Has the organization ensured that information processing facilities are protected from power failures and other supporting utility disruptions?</t>
  </si>
  <si>
    <t>Has the organization ensured that cables carrying power, data, or supporting information services are protected against interception, interference, and damage?</t>
  </si>
  <si>
    <t>Has the organization implemented proper maintenance practices for equipment to safeguard the availability, integrity, and confidentiality of information?</t>
  </si>
  <si>
    <t>Has the organization implemented a process to verify that sensitive data and licensed software are removed or securely overwritten from equipment before disposal or re-use?</t>
  </si>
  <si>
    <t>Has the organization implemented measures to protect information stored on, processed by, or accessible via user endpoint devices?</t>
  </si>
  <si>
    <t>Has the organization implemented controls to restrict and manage the allocation and use of privileged access rights?</t>
  </si>
  <si>
    <t>Has the organization implemented access restrictions to information and associated assets in accordance with its established access control policy?</t>
  </si>
  <si>
    <t>Has the organization implemented appropriate controls to manage read and write access to source code, development tools, and software libraries?</t>
  </si>
  <si>
    <t>Has the organization implemented secure authentication technologies and procedures aligned with information access restrictions and its topic-specific access control policy?</t>
  </si>
  <si>
    <t>Has the organization implemented monitoring and adjustment of resource usage to align with current and expected capacity requirements?</t>
  </si>
  <si>
    <t>Has the organization implemented protection against malware and ensured it is supported by appropriate user awareness?</t>
  </si>
  <si>
    <t>Has the organization implemented a process to obtain information about technical vulnerabilities, assess its exposure, and take appropriate action?</t>
  </si>
  <si>
    <t>Has the organization established, documented, implemented, monitored, and reviewed configurations—including security configurations—for hardware, software, services, and networks?</t>
  </si>
  <si>
    <t>Has the organization implemented procedures to delete information from systems, devices, or storage media when it is no longer needed?</t>
  </si>
  <si>
    <t>Has the organization implemented data masking practices aligned with its access control and related policies, business needs, and applicable legal requirements?</t>
  </si>
  <si>
    <t>Has the organization applied data leakage prevention measures to systems, networks, and any devices that process, store, or transmit sensitive information?</t>
  </si>
  <si>
    <t>Has the organization implemented and regularly tested backup copies of information, software, and systems in accordance with its topic-specific backup policy?</t>
  </si>
  <si>
    <t>Has the organization implemented information processing facilities with sufficient redundancy to meet availability requirements?</t>
  </si>
  <si>
    <t>Has the organization implemented processes to produce, store, protect, and analyze logs that record activities, exceptions, faults, and other relevant events?</t>
  </si>
  <si>
    <t>Has the organization implemented monitoring of networks, systems, and applications for anomalous behavior, and taken appropriate actions to evaluate potential information security incidents?</t>
  </si>
  <si>
    <t>Has the organization synchronized the clocks of its information processing systems to approved time sources?</t>
  </si>
  <si>
    <t>Has the organization restricted and tightly controlled the use of utility programs that are capable of overriding system and application controls?</t>
  </si>
  <si>
    <t>Has the organization implemented procedures and measures to securely manage software installation on operational systems?</t>
  </si>
  <si>
    <t>Has the organization secured, managed, and controlled networks and network devices to protect information in systems and applications?</t>
  </si>
  <si>
    <t>Has the organization identified, implemented, and monitored security mechanisms, service levels, and service requirements for network services?</t>
  </si>
  <si>
    <t>Has the organization segregated groups of information services, users, and information systems within its networks?</t>
  </si>
  <si>
    <t>Has the organization managed access to external websites to reduce exposure to malicious content?</t>
  </si>
  <si>
    <t>Has the organization defined and implemented rules for the effective use of cryptography, including cryptographic key management?</t>
  </si>
  <si>
    <t>Has the organization established and applied rules for the secure development of software and systems?</t>
  </si>
  <si>
    <t>Are Information security requirements identified, specified and approved when developing or acquiring applications?</t>
  </si>
  <si>
    <t>Has the organization established, documented, maintained, and applied secure system engineering principles to its information system development activities?</t>
  </si>
  <si>
    <t>Are secure coding principles used in software development?</t>
  </si>
  <si>
    <t>Has the organization defined and implemented security testing processes within the development life cycle?</t>
  </si>
  <si>
    <t>Does the organization direct, monitor and review activities related to outsourced system development?</t>
  </si>
  <si>
    <t>Has the organization separated and secured development, testing, and production environments?</t>
  </si>
  <si>
    <t>Has the organization subjected changes to information processing facilities and information systems to change management procedures?</t>
  </si>
  <si>
    <t>Has the organization appropriately selected, protected, and managed test information?</t>
  </si>
  <si>
    <t>Has the organization planned and agreed audit tests and other assurance activities involving operational systems between the tester and appropriate management?</t>
  </si>
  <si>
    <t>Field</t>
  </si>
  <si>
    <t>Purpose</t>
  </si>
  <si>
    <t>Security domain</t>
  </si>
  <si>
    <t>What area you are assessing</t>
  </si>
  <si>
    <t>Current practice</t>
  </si>
  <si>
    <t>What the organization actually does today</t>
  </si>
  <si>
    <t>Existing document/control</t>
  </si>
  <si>
    <t>Policy, procedure, technical control, contract, etc.</t>
  </si>
  <si>
    <t>Evidence</t>
  </si>
  <si>
    <t>What proves the practice exists</t>
  </si>
  <si>
    <t>Owner</t>
  </si>
  <si>
    <t>Person/function responsible</t>
  </si>
  <si>
    <t>Status</t>
  </si>
  <si>
    <t>Implemented / Partial / Not implemented / Unknown</t>
  </si>
  <si>
    <t>ISO 27001 relevance</t>
  </si>
  <si>
    <t>Relevant ISO 27001 requirement/control</t>
  </si>
  <si>
    <t>Observation</t>
  </si>
  <si>
    <t>What you discovered</t>
  </si>
  <si>
    <t>Gap candidate</t>
  </si>
  <si>
    <t>What appears to be missing or insufficient</t>
  </si>
  <si>
    <t xml:space="preserve">     Governance &amp; Leadership</t>
  </si>
  <si>
    <t xml:space="preserve">    IT</t>
  </si>
  <si>
    <t xml:space="preserve">    Physical</t>
  </si>
  <si>
    <t xml:space="preserve">    People</t>
  </si>
  <si>
    <t xml:space="preserve">    legal</t>
  </si>
  <si>
    <r>
      <t xml:space="preserve">    0 – Non-Existent:</t>
    </r>
    <r>
      <rPr>
        <sz val="11"/>
        <color theme="1"/>
        <rFont val="Calibri"/>
        <family val="2"/>
        <scheme val="minor"/>
      </rPr>
      <t xml:space="preserve"> No policy, tool, or process exists.</t>
    </r>
  </si>
  <si>
    <r>
      <t xml:space="preserve">    1 – Ad-Hoc / Informal:</t>
    </r>
    <r>
      <rPr>
        <sz val="11"/>
        <color theme="1"/>
        <rFont val="Calibri"/>
        <family val="2"/>
        <scheme val="minor"/>
      </rPr>
      <t xml:space="preserve"> People do it informally, but it isn't documented or consistently enforced.</t>
    </r>
  </si>
  <si>
    <r>
      <t xml:space="preserve">    2 – Documented:</t>
    </r>
    <r>
      <rPr>
        <sz val="11"/>
        <color theme="1"/>
        <rFont val="Calibri"/>
        <family val="2"/>
        <scheme val="minor"/>
      </rPr>
      <t xml:space="preserve"> Policy or process is written, but implementation or evidence generation is incomplete.</t>
    </r>
  </si>
  <si>
    <r>
      <t xml:space="preserve">    3 – Fully Implemented:</t>
    </r>
    <r>
      <rPr>
        <sz val="11"/>
        <color theme="1"/>
        <rFont val="Calibri"/>
        <family val="2"/>
        <scheme val="minor"/>
      </rPr>
      <t xml:space="preserve"> Process is active, documented, enforced, and generating logs/evidence.</t>
    </r>
  </si>
  <si>
    <r>
      <t xml:space="preserve">    4 – Optimized / Measured:</t>
    </r>
    <r>
      <rPr>
        <sz val="11"/>
        <color theme="1"/>
        <rFont val="Calibri"/>
        <family val="2"/>
        <scheme val="minor"/>
      </rPr>
      <t xml:space="preserve"> Continuously monitored and reviewed (ISO Clause 9 &amp; 10 alignment).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</si>
</sst>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2"/>
      <color theme="1"/>
      <name val="Calibri"/>
      <family val="2"/>
      <scheme val="minor"/>
    </font>
    <font>
      <b/>
      <sz val="18"/>
      <color theme="3"/>
      <name val="Calibri Light"/>
      <family val="2"/>
      <scheme val="major"/>
    </font>
    <font>
      <u/>
      <sz val="12"/>
      <color theme="3" tint="0.39994506668294322"/>
      <name val="Calibri"/>
      <family val="2"/>
      <scheme val="minor"/>
    </font>
    <font>
      <b/>
      <sz val="11"/>
      <color theme="1"/>
      <name val="Calibri"/>
      <family val="2"/>
      <scheme val="minor"/>
    </font>
    <font>
      <b/>
      <sz val="24"/>
      <color rgb="FF0070C0"/>
      <name val="Segoe UI"/>
      <family val="2"/>
      <charset val="1"/>
    </font>
    <font>
      <sz val="12"/>
      <color rgb="FF0070C0"/>
      <name val="Segoe UI"/>
      <family val="2"/>
      <charset val="1"/>
    </font>
    <font>
      <sz val="12"/>
      <color theme="1"/>
      <name val="Segoe UI"/>
      <family val="2"/>
      <charset val="1"/>
    </font>
    <font>
      <b/>
      <sz val="10"/>
      <color rgb="FF0070C0"/>
      <name val="Segoe UI"/>
      <family val="2"/>
      <charset val="1"/>
    </font>
    <font>
      <sz val="11"/>
      <color theme="1"/>
      <name val="Segoe UI"/>
      <family val="2"/>
      <charset val="1"/>
    </font>
    <font>
      <b/>
      <sz val="11"/>
      <color theme="1"/>
      <name val="Segoe UI"/>
      <family val="2"/>
      <charset val="1"/>
    </font>
    <font>
      <sz val="11"/>
      <color theme="1" tint="4.9989318521683403E-2"/>
      <name val="Segoe UI"/>
      <family val="2"/>
      <charset val="1"/>
    </font>
    <font>
      <b/>
      <sz val="11"/>
      <color theme="1" tint="4.9989318521683403E-2"/>
      <name val="Segoe UI"/>
      <family val="2"/>
      <charset val="1"/>
    </font>
    <font>
      <b/>
      <sz val="24"/>
      <color rgb="FF0070C0"/>
      <name val="Segoe UI"/>
    </font>
    <font>
      <sz val="12"/>
      <color rgb="FF0070C0"/>
      <name val="Segoe UI"/>
    </font>
    <font>
      <sz val="12"/>
      <color theme="1"/>
      <name val="Segoe UI"/>
    </font>
    <font>
      <b/>
      <sz val="10"/>
      <color rgb="FF0070C0"/>
      <name val="Segoe UI"/>
    </font>
    <font>
      <sz val="10"/>
      <color theme="1"/>
      <name val="Segoe UI"/>
    </font>
    <font>
      <sz val="11"/>
      <color theme="1"/>
      <name val="Segoe UI"/>
    </font>
    <font>
      <b/>
      <sz val="11"/>
      <color theme="1"/>
      <name val="Segoe UI"/>
    </font>
    <font>
      <b/>
      <sz val="11"/>
      <color rgb="FF000000"/>
      <name val="Segoe UI"/>
      <family val="2"/>
      <charset val="1"/>
    </font>
  </fonts>
  <fills count="7">
    <fill>
      <patternFill patternType="none"/>
    </fill>
    <fill>
      <patternFill patternType="gray125"/>
    </fill>
    <fill>
      <patternFill patternType="solid">
        <fgColor rgb="FFF3FAFF"/>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FFFFFF"/>
        <bgColor rgb="FFFFFFFF"/>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4" fillId="0" borderId="0" applyNumberFormat="0" applyFill="0" applyBorder="0" applyAlignment="0" applyProtection="0"/>
    <xf numFmtId="0" fontId="2" fillId="0" borderId="0"/>
    <xf numFmtId="9" fontId="1" fillId="0" borderId="0" applyFont="0" applyFill="0" applyBorder="0" applyAlignment="0" applyProtection="0"/>
    <xf numFmtId="0" fontId="3" fillId="0" borderId="0" applyNumberFormat="0" applyFill="0" applyBorder="0" applyAlignment="0" applyProtection="0"/>
  </cellStyleXfs>
  <cellXfs count="66">
    <xf numFmtId="0" fontId="0" fillId="0" borderId="0" xfId="0"/>
    <xf numFmtId="0" fontId="5" fillId="3" borderId="1" xfId="0" applyFont="1" applyFill="1" applyBorder="1" applyAlignment="1">
      <alignment vertical="top" wrapText="1"/>
    </xf>
    <xf numFmtId="0" fontId="0" fillId="0" borderId="1" xfId="0" applyBorder="1"/>
    <xf numFmtId="0" fontId="6" fillId="2" borderId="0" xfId="4" applyFont="1" applyFill="1" applyAlignment="1" applyProtection="1">
      <alignment horizontal="left" vertical="center"/>
    </xf>
    <xf numFmtId="0" fontId="7" fillId="2" borderId="0" xfId="2" applyFont="1" applyFill="1" applyAlignment="1">
      <alignment vertical="center"/>
    </xf>
    <xf numFmtId="0" fontId="8" fillId="0" borderId="0" xfId="2" applyFont="1" applyAlignment="1">
      <alignment vertical="center"/>
    </xf>
    <xf numFmtId="0" fontId="9" fillId="2" borderId="0" xfId="4" applyFont="1" applyFill="1" applyAlignment="1" applyProtection="1">
      <alignment vertical="center"/>
    </xf>
    <xf numFmtId="0" fontId="6" fillId="2" borderId="0" xfId="4" applyFont="1" applyFill="1" applyAlignment="1" applyProtection="1">
      <alignment vertical="center"/>
    </xf>
    <xf numFmtId="0" fontId="10" fillId="0" borderId="0" xfId="2" applyFont="1" applyAlignment="1">
      <alignment vertical="center"/>
    </xf>
    <xf numFmtId="0" fontId="11" fillId="0" borderId="2" xfId="0" applyFont="1" applyBorder="1" applyAlignment="1">
      <alignment vertical="center" wrapText="1"/>
    </xf>
    <xf numFmtId="0" fontId="11" fillId="0" borderId="3" xfId="0" applyFont="1" applyBorder="1" applyAlignment="1">
      <alignment vertical="center" wrapText="1"/>
    </xf>
    <xf numFmtId="0" fontId="11" fillId="0" borderId="3" xfId="0" applyFont="1" applyBorder="1" applyAlignment="1">
      <alignment horizontal="left" vertical="center" wrapText="1"/>
    </xf>
    <xf numFmtId="0" fontId="11" fillId="0" borderId="4" xfId="0" applyFont="1" applyBorder="1" applyAlignment="1">
      <alignment vertical="center" wrapText="1"/>
    </xf>
    <xf numFmtId="0" fontId="10" fillId="0" borderId="0" xfId="0" applyFont="1" applyAlignment="1">
      <alignment vertical="center"/>
    </xf>
    <xf numFmtId="0" fontId="10" fillId="0" borderId="0" xfId="0" applyFont="1"/>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0" borderId="5" xfId="0" applyFont="1" applyBorder="1" applyAlignment="1">
      <alignment vertical="center" wrapText="1"/>
    </xf>
    <xf numFmtId="0" fontId="12" fillId="0" borderId="1" xfId="0" applyFont="1" applyBorder="1" applyAlignment="1">
      <alignment vertical="center" wrapText="1"/>
    </xf>
    <xf numFmtId="0" fontId="12" fillId="0" borderId="6" xfId="0" applyFont="1" applyBorder="1" applyAlignment="1">
      <alignment vertical="center"/>
    </xf>
    <xf numFmtId="0" fontId="12" fillId="0" borderId="6" xfId="0" applyFont="1" applyBorder="1" applyAlignment="1">
      <alignment vertical="center" wrapText="1"/>
    </xf>
    <xf numFmtId="0" fontId="14" fillId="2" borderId="0" xfId="4" applyFont="1" applyFill="1" applyAlignment="1" applyProtection="1">
      <alignment horizontal="left" vertical="center"/>
    </xf>
    <xf numFmtId="0" fontId="15" fillId="2" borderId="0" xfId="2" applyFont="1" applyFill="1" applyAlignment="1">
      <alignment vertical="center"/>
    </xf>
    <xf numFmtId="0" fontId="16" fillId="0" borderId="0" xfId="2" applyFont="1" applyAlignment="1">
      <alignment vertical="center"/>
    </xf>
    <xf numFmtId="0" fontId="17" fillId="2" borderId="0" xfId="4" applyFont="1" applyFill="1" applyAlignment="1" applyProtection="1">
      <alignment vertical="center"/>
    </xf>
    <xf numFmtId="0" fontId="14" fillId="2" borderId="0" xfId="4" applyFont="1" applyFill="1" applyAlignment="1" applyProtection="1">
      <alignment vertical="center"/>
    </xf>
    <xf numFmtId="0" fontId="18" fillId="0" borderId="0" xfId="0" applyFont="1"/>
    <xf numFmtId="0" fontId="19" fillId="0" borderId="0" xfId="0" applyFont="1"/>
    <xf numFmtId="0" fontId="18" fillId="0" borderId="0" xfId="0" applyFont="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vertical="center" wrapText="1"/>
    </xf>
    <xf numFmtId="0" fontId="19" fillId="0" borderId="0" xfId="0" applyFont="1" applyAlignment="1">
      <alignment vertical="center" wrapText="1"/>
    </xf>
    <xf numFmtId="0" fontId="19" fillId="0" borderId="0" xfId="0" applyFont="1" applyAlignment="1">
      <alignment horizontal="left"/>
    </xf>
    <xf numFmtId="0" fontId="19" fillId="0" borderId="0" xfId="0" applyFont="1" applyAlignment="1">
      <alignment horizontal="center"/>
    </xf>
    <xf numFmtId="9" fontId="19" fillId="0" borderId="0" xfId="0" applyNumberFormat="1" applyFont="1" applyAlignment="1">
      <alignment horizontal="center"/>
    </xf>
    <xf numFmtId="0" fontId="20" fillId="4" borderId="7" xfId="0" applyFont="1" applyFill="1" applyBorder="1"/>
    <xf numFmtId="0" fontId="20" fillId="4" borderId="7" xfId="0" applyFont="1" applyFill="1" applyBorder="1" applyAlignment="1">
      <alignment horizontal="center"/>
    </xf>
    <xf numFmtId="9" fontId="20" fillId="4" borderId="7" xfId="3" applyFont="1" applyFill="1" applyBorder="1" applyAlignment="1">
      <alignment horizontal="center"/>
    </xf>
    <xf numFmtId="0" fontId="18" fillId="0" borderId="0" xfId="0" applyFont="1" applyAlignment="1">
      <alignment horizontal="center"/>
    </xf>
    <xf numFmtId="0" fontId="21" fillId="5" borderId="1" xfId="0" applyFont="1" applyFill="1" applyBorder="1" applyAlignment="1">
      <alignment vertical="center" wrapText="1"/>
    </xf>
    <xf numFmtId="0" fontId="21" fillId="5" borderId="5" xfId="0" applyFont="1" applyFill="1" applyBorder="1" applyAlignment="1">
      <alignment vertical="center" wrapText="1"/>
    </xf>
    <xf numFmtId="0" fontId="21" fillId="5" borderId="1" xfId="0" applyFont="1" applyFill="1" applyBorder="1" applyAlignment="1">
      <alignment horizontal="left" vertical="center" wrapText="1"/>
    </xf>
    <xf numFmtId="0" fontId="13" fillId="6" borderId="1" xfId="0" applyFont="1" applyFill="1" applyBorder="1" applyAlignment="1">
      <alignment vertical="center" wrapText="1"/>
    </xf>
    <xf numFmtId="0" fontId="13" fillId="6" borderId="5" xfId="0" applyFont="1" applyFill="1" applyBorder="1" applyAlignment="1">
      <alignment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1" xfId="0" applyFont="1" applyFill="1" applyBorder="1" applyAlignment="1">
      <alignment vertical="center" wrapText="1"/>
    </xf>
    <xf numFmtId="0" fontId="12" fillId="6" borderId="1" xfId="0" applyFont="1" applyFill="1" applyBorder="1" applyAlignment="1">
      <alignment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0" fillId="0" borderId="9" xfId="0" applyBorder="1"/>
    <xf numFmtId="0" fontId="0" fillId="0" borderId="10" xfId="0" applyBorder="1"/>
    <xf numFmtId="0" fontId="0" fillId="0" borderId="11" xfId="0" applyBorder="1" applyAlignment="1">
      <alignment vertical="center" wrapText="1"/>
    </xf>
    <xf numFmtId="0" fontId="0" fillId="0" borderId="0" xfId="0" applyBorder="1" applyAlignment="1">
      <alignment vertical="center" wrapText="1"/>
    </xf>
    <xf numFmtId="0" fontId="0" fillId="0" borderId="0" xfId="0" applyBorder="1"/>
    <xf numFmtId="0" fontId="0" fillId="0" borderId="12" xfId="0" applyBorder="1"/>
    <xf numFmtId="0" fontId="0" fillId="0" borderId="11" xfId="0" applyBorder="1"/>
    <xf numFmtId="0" fontId="5" fillId="0" borderId="11" xfId="0" applyFont="1" applyBorder="1"/>
    <xf numFmtId="0" fontId="0" fillId="0" borderId="13" xfId="0" applyBorder="1" applyAlignment="1">
      <alignment vertical="center" wrapText="1"/>
    </xf>
    <xf numFmtId="0" fontId="0" fillId="0" borderId="14" xfId="0" applyBorder="1" applyAlignment="1">
      <alignment vertical="center" wrapText="1"/>
    </xf>
    <xf numFmtId="0" fontId="0" fillId="0" borderId="14" xfId="0" applyBorder="1"/>
    <xf numFmtId="0" fontId="0" fillId="0" borderId="15" xfId="0" applyBorder="1"/>
    <xf numFmtId="0" fontId="17" fillId="2" borderId="0" xfId="4" applyFont="1" applyFill="1" applyBorder="1" applyAlignment="1" applyProtection="1">
      <alignment horizontal="left" vertical="center"/>
    </xf>
  </cellXfs>
  <cellStyles count="5">
    <cellStyle name="Hyperlink 2" xfId="1" xr:uid="{74CB783B-F709-1D4E-94F6-85A0EFAB9F8A}"/>
    <cellStyle name="Normal" xfId="0" builtinId="0"/>
    <cellStyle name="Normal 2" xfId="2" xr:uid="{10AF490F-C04E-4549-AED3-553CE2055201}"/>
    <cellStyle name="Percent" xfId="3" builtinId="5"/>
    <cellStyle name="Title 2" xfId="4" xr:uid="{AB660445-A7D9-3647-9A08-122E555E8C55}"/>
  </cellStyles>
  <dxfs count="16">
    <dxf>
      <font>
        <b val="0"/>
        <i val="0"/>
        <strike val="0"/>
        <condense val="0"/>
        <extend val="0"/>
        <outline val="0"/>
        <shadow val="0"/>
        <u val="none"/>
        <vertAlign val="baseline"/>
        <sz val="11"/>
        <color theme="1" tint="4.9989318521683403E-2"/>
        <name val="Segoe UI"/>
        <family val="2"/>
        <charset val="1"/>
        <scheme val="none"/>
      </font>
      <fill>
        <patternFill patternType="none">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tint="4.9989318521683403E-2"/>
        <name val="Segoe UI"/>
        <family val="2"/>
        <charset val="1"/>
        <scheme val="none"/>
      </font>
      <fill>
        <patternFill patternType="none">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tint="4.9989318521683403E-2"/>
        <name val="Segoe UI"/>
        <family val="2"/>
        <charset val="1"/>
        <scheme val="none"/>
      </font>
      <fill>
        <patternFill patternType="none">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tint="4.9989318521683403E-2"/>
        <name val="Segoe UI"/>
        <family val="2"/>
        <charset val="1"/>
        <scheme val="none"/>
      </font>
      <fill>
        <patternFill patternType="none">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tint="4.9989318521683403E-2"/>
        <name val="Segoe UI"/>
        <family val="2"/>
        <charset val="1"/>
        <scheme val="none"/>
      </font>
      <numFmt numFmtId="0" formatCode="Genera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tint="4.9989318521683403E-2"/>
        <name val="Segoe UI"/>
        <family val="2"/>
        <charset val="1"/>
        <scheme val="none"/>
      </font>
      <fill>
        <patternFill patternType="none">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tint="4.9989318521683403E-2"/>
        <name val="Segoe UI"/>
        <family val="2"/>
        <charset val="1"/>
        <scheme val="none"/>
      </font>
      <fill>
        <patternFill patternType="none">
          <bgColor indexed="65"/>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s>
  <tableStyles count="1" defaultTableStyle="TableStyleMedium2" defaultPivotStyle="PivotStyleLight16">
    <tableStyle name="Custom Blue" pivot="0" count="5" xr9:uid="{9CE07F1B-3AAA-104D-8E11-232F2C4A9D66}">
      <tableStyleElement type="wholeTable" dxfId="15"/>
      <tableStyleElement type="headerRow" dxfId="14"/>
      <tableStyleElement type="totalRow" dxfId="13"/>
      <tableStyleElement type="firstRowStripe" dxfId="12"/>
      <tableStyleElement type="secondRowStripe" dxfId="11"/>
    </tableStyle>
  </tableStyles>
  <colors>
    <mruColors>
      <color rgb="FFDEEBF8"/>
      <color rgb="FF0C3060"/>
      <color rgb="FF68BCE4"/>
      <color rgb="FF3386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34" Type="http://schemas.microsoft.com/office/2017/10/relationships/person" Target="persons/person.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057274817392"/>
          <c:y val="7.982583454281568E-2"/>
          <c:w val="0.71864051150582919"/>
          <c:h val="0.8072971783824554"/>
        </c:manualLayout>
      </c:layout>
      <c:doughnutChart>
        <c:varyColors val="1"/>
        <c:ser>
          <c:idx val="0"/>
          <c:order val="0"/>
          <c:spPr>
            <a:ln>
              <a:solidFill>
                <a:schemeClr val="bg1"/>
              </a:solidFill>
            </a:ln>
          </c:spPr>
          <c:explosion val="6"/>
          <c:dPt>
            <c:idx val="0"/>
            <c:bubble3D val="0"/>
            <c:spPr>
              <a:solidFill>
                <a:srgbClr val="0C3060"/>
              </a:solidFill>
              <a:ln w="19050">
                <a:solidFill>
                  <a:schemeClr val="bg1"/>
                </a:solidFill>
              </a:ln>
              <a:effectLst/>
            </c:spPr>
            <c:extLst>
              <c:ext xmlns:c16="http://schemas.microsoft.com/office/drawing/2014/chart" uri="{C3380CC4-5D6E-409C-BE32-E72D297353CC}">
                <c16:uniqueId val="{00000000-1C8A-1243-98DA-E6A29A25E433}"/>
              </c:ext>
            </c:extLst>
          </c:dPt>
          <c:dPt>
            <c:idx val="1"/>
            <c:bubble3D val="0"/>
            <c:spPr>
              <a:solidFill>
                <a:srgbClr val="3386D4"/>
              </a:solidFill>
              <a:ln w="19050">
                <a:solidFill>
                  <a:schemeClr val="bg1"/>
                </a:solidFill>
              </a:ln>
              <a:effectLst/>
            </c:spPr>
            <c:extLst>
              <c:ext xmlns:c16="http://schemas.microsoft.com/office/drawing/2014/chart" uri="{C3380CC4-5D6E-409C-BE32-E72D297353CC}">
                <c16:uniqueId val="{00000001-1C8A-1243-98DA-E6A29A25E433}"/>
              </c:ext>
            </c:extLst>
          </c:dPt>
          <c:dPt>
            <c:idx val="2"/>
            <c:bubble3D val="0"/>
            <c:spPr>
              <a:solidFill>
                <a:srgbClr val="68BCE4"/>
              </a:solidFill>
              <a:ln w="19050">
                <a:solidFill>
                  <a:schemeClr val="bg1"/>
                </a:solidFill>
              </a:ln>
              <a:effectLst/>
            </c:spPr>
            <c:extLst>
              <c:ext xmlns:c16="http://schemas.microsoft.com/office/drawing/2014/chart" uri="{C3380CC4-5D6E-409C-BE32-E72D297353CC}">
                <c16:uniqueId val="{00000002-1C8A-1243-98DA-E6A29A25E433}"/>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3-1C8A-1243-98DA-E6A29A25E433}"/>
              </c:ext>
            </c:extLst>
          </c:dPt>
          <c:cat>
            <c:strRef>
              <c:f>Pivots!$C$8:$E$8</c:f>
              <c:strCache>
                <c:ptCount val="3"/>
                <c:pt idx="0">
                  <c:v>Fully Compliant</c:v>
                </c:pt>
                <c:pt idx="1">
                  <c:v>Partially Compliant</c:v>
                </c:pt>
                <c:pt idx="2">
                  <c:v>Not Compliant</c:v>
                </c:pt>
              </c:strCache>
            </c:strRef>
          </c:cat>
          <c:val>
            <c:numRef>
              <c:f>Pivots!$C$11:$E$11</c:f>
              <c:numCache>
                <c:formatCode>General</c:formatCode>
                <c:ptCount val="3"/>
                <c:pt idx="0">
                  <c:v>117</c:v>
                </c:pt>
                <c:pt idx="1">
                  <c:v>4</c:v>
                </c:pt>
                <c:pt idx="2">
                  <c:v>1</c:v>
                </c:pt>
              </c:numCache>
            </c:numRef>
          </c:val>
          <c:extLst>
            <c:ext xmlns:c16="http://schemas.microsoft.com/office/drawing/2014/chart" uri="{C3380CC4-5D6E-409C-BE32-E72D297353CC}">
              <c16:uniqueId val="{00000004-1C8A-1243-98DA-E6A29A25E433}"/>
            </c:ext>
          </c:extLst>
        </c:ser>
        <c:dLbls>
          <c:showLegendKey val="0"/>
          <c:showVal val="0"/>
          <c:showCatName val="0"/>
          <c:showSerName val="0"/>
          <c:showPercent val="0"/>
          <c:showBubbleSize val="0"/>
          <c:showLeaderLines val="1"/>
        </c:dLbls>
        <c:firstSliceAng val="59"/>
        <c:holeSize val="7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Pivots!$H$8</c:f>
              <c:strCache>
                <c:ptCount val="1"/>
                <c:pt idx="0">
                  <c:v>% Compliance</c:v>
                </c:pt>
              </c:strCache>
            </c:strRef>
          </c:tx>
          <c:spPr>
            <a:gradFill>
              <a:gsLst>
                <a:gs pos="0">
                  <a:srgbClr val="0E86D4"/>
                </a:gs>
                <a:gs pos="100000">
                  <a:srgbClr val="68BBE3"/>
                </a:gs>
              </a:gsLst>
              <a:lin ang="5400000" scaled="1"/>
            </a:gradFill>
            <a:ln>
              <a:noFill/>
            </a:ln>
            <a:effectLst/>
          </c:spPr>
          <c:invertIfNegative val="0"/>
          <c:dLbls>
            <c:spPr>
              <a:noFill/>
              <a:ln>
                <a:noFill/>
              </a:ln>
              <a:effectLst/>
            </c:spPr>
            <c:txPr>
              <a:bodyPr wrap="square" lIns="38100" tIns="19050" rIns="38100" bIns="19050" anchor="ctr">
                <a:spAutoFit/>
              </a:bodyPr>
              <a:lstStyle/>
              <a:p>
                <a:pPr>
                  <a:defRPr sz="1800" b="1" i="0" u="none" strike="noStrike" baseline="0">
                    <a:solidFill>
                      <a:srgbClr val="002060"/>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Pivots!$B$9:$B$10</c:f>
              <c:strCache>
                <c:ptCount val="2"/>
                <c:pt idx="0">
                  <c:v>Annex A Controls</c:v>
                </c:pt>
                <c:pt idx="1">
                  <c:v>Mandatory Clauses</c:v>
                </c:pt>
              </c:strCache>
            </c:strRef>
          </c:cat>
          <c:val>
            <c:numRef>
              <c:f>Pivots!$H$9:$H$10</c:f>
              <c:numCache>
                <c:formatCode>0%</c:formatCode>
                <c:ptCount val="2"/>
                <c:pt idx="0">
                  <c:v>1</c:v>
                </c:pt>
                <c:pt idx="1">
                  <c:v>0.82758620689655171</c:v>
                </c:pt>
              </c:numCache>
            </c:numRef>
          </c:val>
          <c:extLst>
            <c:ext xmlns:c16="http://schemas.microsoft.com/office/drawing/2014/chart" uri="{C3380CC4-5D6E-409C-BE32-E72D297353CC}">
              <c16:uniqueId val="{00000000-E8E6-C848-AC9A-EB69B4134E1C}"/>
            </c:ext>
          </c:extLst>
        </c:ser>
        <c:dLbls>
          <c:showLegendKey val="0"/>
          <c:showVal val="0"/>
          <c:showCatName val="0"/>
          <c:showSerName val="0"/>
          <c:showPercent val="0"/>
          <c:showBubbleSize val="0"/>
        </c:dLbls>
        <c:gapWidth val="219"/>
        <c:overlap val="-27"/>
        <c:axId val="1316720400"/>
        <c:axId val="1"/>
      </c:barChart>
      <c:catAx>
        <c:axId val="1316720400"/>
        <c:scaling>
          <c:orientation val="minMax"/>
        </c:scaling>
        <c:delete val="0"/>
        <c:axPos val="b"/>
        <c:numFmt formatCode="General" sourceLinked="1"/>
        <c:majorTickMark val="none"/>
        <c:minorTickMark val="none"/>
        <c:tickLblPos val="nextTo"/>
        <c:spPr>
          <a:noFill/>
          <a:ln w="9525" cap="flat" cmpd="sng" algn="ctr">
            <a:noFill/>
            <a:round/>
          </a:ln>
          <a:effectLst/>
        </c:spPr>
        <c:txPr>
          <a:bodyPr rot="0" vert="horz"/>
          <a:lstStyle/>
          <a:p>
            <a:pPr>
              <a:defRPr sz="1200" b="0" i="0" u="none" strike="noStrike" baseline="0">
                <a:solidFill>
                  <a:srgbClr val="0C3060"/>
                </a:solidFill>
                <a:latin typeface="Segoe UI"/>
                <a:ea typeface="Segoe UI"/>
                <a:cs typeface="Segoe UI"/>
              </a:defRPr>
            </a:pPr>
            <a:endParaRPr lang="en-US"/>
          </a:p>
        </c:txPr>
        <c:crossAx val="1"/>
        <c:crosses val="autoZero"/>
        <c:auto val="1"/>
        <c:lblAlgn val="ctr"/>
        <c:lblOffset val="100"/>
        <c:noMultiLvlLbl val="0"/>
      </c:catAx>
      <c:valAx>
        <c:axId val="1"/>
        <c:scaling>
          <c:orientation val="minMax"/>
        </c:scaling>
        <c:delete val="1"/>
        <c:axPos val="l"/>
        <c:numFmt formatCode="0%" sourceLinked="1"/>
        <c:majorTickMark val="out"/>
        <c:minorTickMark val="none"/>
        <c:tickLblPos val="nextTo"/>
        <c:crossAx val="1316720400"/>
        <c:crosses val="autoZero"/>
        <c:crossBetween val="between"/>
      </c:valAx>
      <c:spPr>
        <a:noFill/>
        <a:ln w="25400">
          <a:noFill/>
        </a:ln>
      </c:spPr>
    </c:plotArea>
    <c:plotVisOnly val="1"/>
    <c:dispBlanksAs val="gap"/>
    <c:showDLblsOverMax val="0"/>
  </c:chart>
  <c:spPr>
    <a:noFill/>
    <a:ln w="9525" cap="flat" cmpd="sng" algn="ctr">
      <a:noFill/>
      <a:round/>
    </a:ln>
    <a:effectLst/>
  </c:spPr>
  <c:txPr>
    <a:bodyPr/>
    <a:lstStyle/>
    <a:p>
      <a:pPr>
        <a:defRPr sz="1200" b="0" i="0" u="none" strike="noStrike" baseline="0">
          <a:solidFill>
            <a:srgbClr val="000000"/>
          </a:solidFill>
          <a:latin typeface="Segoe UI"/>
          <a:ea typeface="Segoe UI"/>
          <a:cs typeface="Segoe U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0">
                  <a:srgbClr val="0E86D4"/>
                </a:gs>
                <a:gs pos="100000">
                  <a:srgbClr val="68BBE3"/>
                </a:gs>
              </a:gsLst>
              <a:lin ang="5400000" scaled="1"/>
            </a:gradFill>
            <a:ln>
              <a:noFill/>
            </a:ln>
            <a:effectLst/>
          </c:spPr>
          <c:invertIfNegative val="0"/>
          <c:dLbls>
            <c:spPr>
              <a:noFill/>
              <a:ln>
                <a:noFill/>
              </a:ln>
              <a:effectLst/>
            </c:spPr>
            <c:txPr>
              <a:bodyPr wrap="square" lIns="38100" tIns="19050" rIns="38100" bIns="19050" anchor="ctr">
                <a:spAutoFit/>
              </a:bodyPr>
              <a:lstStyle/>
              <a:p>
                <a:pPr>
                  <a:defRPr sz="18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Pivots!$C$8:$E$8</c:f>
              <c:strCache>
                <c:ptCount val="3"/>
                <c:pt idx="0">
                  <c:v>Fully Compliant</c:v>
                </c:pt>
                <c:pt idx="1">
                  <c:v>Partially Compliant</c:v>
                </c:pt>
                <c:pt idx="2">
                  <c:v>Not Compliant</c:v>
                </c:pt>
              </c:strCache>
            </c:strRef>
          </c:cat>
          <c:val>
            <c:numRef>
              <c:f>Pivots!$C$11:$E$11</c:f>
              <c:numCache>
                <c:formatCode>General</c:formatCode>
                <c:ptCount val="3"/>
                <c:pt idx="0">
                  <c:v>117</c:v>
                </c:pt>
                <c:pt idx="1">
                  <c:v>4</c:v>
                </c:pt>
                <c:pt idx="2">
                  <c:v>1</c:v>
                </c:pt>
              </c:numCache>
            </c:numRef>
          </c:val>
          <c:extLst>
            <c:ext xmlns:c16="http://schemas.microsoft.com/office/drawing/2014/chart" uri="{C3380CC4-5D6E-409C-BE32-E72D297353CC}">
              <c16:uniqueId val="{00000000-45CA-DE49-9628-15BE600456E4}"/>
            </c:ext>
          </c:extLst>
        </c:ser>
        <c:dLbls>
          <c:showLegendKey val="0"/>
          <c:showVal val="0"/>
          <c:showCatName val="0"/>
          <c:showSerName val="0"/>
          <c:showPercent val="0"/>
          <c:showBubbleSize val="0"/>
        </c:dLbls>
        <c:gapWidth val="150"/>
        <c:axId val="1316720400"/>
        <c:axId val="1"/>
      </c:barChart>
      <c:catAx>
        <c:axId val="1316720400"/>
        <c:scaling>
          <c:orientation val="minMax"/>
        </c:scaling>
        <c:delete val="0"/>
        <c:axPos val="b"/>
        <c:numFmt formatCode="General" sourceLinked="1"/>
        <c:majorTickMark val="none"/>
        <c:minorTickMark val="none"/>
        <c:tickLblPos val="nextTo"/>
        <c:spPr>
          <a:noFill/>
          <a:ln>
            <a:noFill/>
          </a:ln>
          <a:effectLst/>
        </c:spPr>
        <c:txPr>
          <a:bodyPr rot="0" vert="horz"/>
          <a:lstStyle/>
          <a:p>
            <a:pPr>
              <a:defRPr sz="1200" b="0" i="0" u="none" strike="noStrike" baseline="0">
                <a:solidFill>
                  <a:srgbClr val="0C3060"/>
                </a:solidFill>
                <a:latin typeface="Segoe UI"/>
                <a:ea typeface="Segoe UI"/>
                <a:cs typeface="Segoe UI"/>
              </a:defRPr>
            </a:pPr>
            <a:endParaRPr lang="en-US"/>
          </a:p>
        </c:txPr>
        <c:crossAx val="1"/>
        <c:crosses val="autoZero"/>
        <c:auto val="1"/>
        <c:lblAlgn val="ctr"/>
        <c:lblOffset val="100"/>
        <c:noMultiLvlLbl val="0"/>
      </c:catAx>
      <c:valAx>
        <c:axId val="1"/>
        <c:scaling>
          <c:orientation val="minMax"/>
        </c:scaling>
        <c:delete val="1"/>
        <c:axPos val="l"/>
        <c:numFmt formatCode="General" sourceLinked="1"/>
        <c:majorTickMark val="none"/>
        <c:minorTickMark val="none"/>
        <c:tickLblPos val="nextTo"/>
        <c:crossAx val="1316720400"/>
        <c:crosses val="autoZero"/>
        <c:crossBetween val="between"/>
      </c:valAx>
      <c:spPr>
        <a:noFill/>
        <a:ln w="25400">
          <a:noFill/>
        </a:ln>
      </c:spPr>
    </c:plotArea>
    <c:plotVisOnly val="1"/>
    <c:dispBlanksAs val="gap"/>
    <c:showDLblsOverMax val="0"/>
  </c:chart>
  <c:spPr>
    <a:noFill/>
    <a:ln w="9525" cap="flat" cmpd="sng" algn="ctr">
      <a:noFill/>
      <a:round/>
    </a:ln>
    <a:effectLst/>
  </c:spPr>
  <c:txPr>
    <a:bodyPr/>
    <a:lstStyle/>
    <a:p>
      <a:pPr>
        <a:defRPr sz="1200" b="0" i="0" u="none" strike="noStrike" baseline="0">
          <a:solidFill>
            <a:srgbClr val="000000"/>
          </a:solidFill>
          <a:latin typeface="Segoe UI"/>
          <a:ea typeface="Segoe UI"/>
          <a:cs typeface="Segoe U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Pivots!$H$16</c:f>
              <c:strCache>
                <c:ptCount val="1"/>
                <c:pt idx="0">
                  <c:v>% Compliance</c:v>
                </c:pt>
              </c:strCache>
            </c:strRef>
          </c:tx>
          <c:spPr>
            <a:solidFill>
              <a:srgbClr val="0C3060"/>
            </a:solidFill>
            <a:ln>
              <a:noFill/>
            </a:ln>
            <a:effectLst/>
          </c:spPr>
          <c:invertIfNegative val="0"/>
          <c:dLbls>
            <c:spPr>
              <a:solidFill>
                <a:schemeClr val="accent1">
                  <a:lumMod val="40000"/>
                  <a:lumOff val="60000"/>
                </a:schemeClr>
              </a:solidFill>
              <a:ln cap="rnd">
                <a:solidFill>
                  <a:schemeClr val="bg1"/>
                </a:solid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Pivots!$B$17:$B$27</c:f>
              <c:strCache>
                <c:ptCount val="11"/>
                <c:pt idx="0">
                  <c:v>4 - Context of the organization</c:v>
                </c:pt>
                <c:pt idx="1">
                  <c:v>5 - Leadership</c:v>
                </c:pt>
                <c:pt idx="2">
                  <c:v>6 - Planning</c:v>
                </c:pt>
                <c:pt idx="3">
                  <c:v>7 - Support</c:v>
                </c:pt>
                <c:pt idx="4">
                  <c:v>8 - Operation</c:v>
                </c:pt>
                <c:pt idx="5">
                  <c:v>9 - Performance evaluation</c:v>
                </c:pt>
                <c:pt idx="6">
                  <c:v>10 - Improvement</c:v>
                </c:pt>
                <c:pt idx="7">
                  <c:v>A.5 - Organizational controls</c:v>
                </c:pt>
                <c:pt idx="8">
                  <c:v>A.6 - People controls</c:v>
                </c:pt>
                <c:pt idx="9">
                  <c:v>A.7 - Physical controls</c:v>
                </c:pt>
                <c:pt idx="10">
                  <c:v>A.8 - Technological controls</c:v>
                </c:pt>
              </c:strCache>
            </c:strRef>
          </c:cat>
          <c:val>
            <c:numRef>
              <c:f>Pivots!$H$17:$H$27</c:f>
              <c:numCache>
                <c:formatCode>0%</c:formatCode>
                <c:ptCount val="11"/>
                <c:pt idx="0">
                  <c:v>0.5</c:v>
                </c:pt>
                <c:pt idx="1">
                  <c:v>1</c:v>
                </c:pt>
                <c:pt idx="2">
                  <c:v>0.25</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F3E4-884B-9E7A-0E1BDE1D89AB}"/>
            </c:ext>
          </c:extLst>
        </c:ser>
        <c:dLbls>
          <c:showLegendKey val="0"/>
          <c:showVal val="0"/>
          <c:showCatName val="0"/>
          <c:showSerName val="0"/>
          <c:showPercent val="0"/>
          <c:showBubbleSize val="0"/>
        </c:dLbls>
        <c:gapWidth val="219"/>
        <c:overlap val="-27"/>
        <c:axId val="363469903"/>
        <c:axId val="209046159"/>
      </c:barChart>
      <c:catAx>
        <c:axId val="3634699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0C3060"/>
                </a:solidFill>
                <a:latin typeface="Segoe UI" panose="020B0502040204020203" pitchFamily="34" charset="0"/>
                <a:ea typeface="+mn-ea"/>
                <a:cs typeface="Segoe UI" panose="020B0502040204020203" pitchFamily="34" charset="0"/>
              </a:defRPr>
            </a:pPr>
            <a:endParaRPr lang="en-US"/>
          </a:p>
        </c:txPr>
        <c:crossAx val="209046159"/>
        <c:crosses val="autoZero"/>
        <c:auto val="1"/>
        <c:lblAlgn val="ctr"/>
        <c:lblOffset val="100"/>
        <c:noMultiLvlLbl val="0"/>
      </c:catAx>
      <c:valAx>
        <c:axId val="209046159"/>
        <c:scaling>
          <c:orientation val="minMax"/>
        </c:scaling>
        <c:delete val="1"/>
        <c:axPos val="l"/>
        <c:numFmt formatCode="0%" sourceLinked="1"/>
        <c:majorTickMark val="none"/>
        <c:minorTickMark val="none"/>
        <c:tickLblPos val="nextTo"/>
        <c:crossAx val="3634699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4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https://allaboutgrc.com/iso-27001-gap-and-maturity-assessment-templates/" TargetMode="Externa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hyperlink" Target="https://allaboutgrc.com/iso-27001-gap-and-maturity-assessment-templates/" TargetMode="External"/></Relationships>
</file>

<file path=xl/drawings/drawing1.xml><?xml version="1.0" encoding="utf-8"?>
<xdr:wsDr xmlns:xdr="http://schemas.openxmlformats.org/drawingml/2006/spreadsheetDrawing" xmlns:a="http://schemas.openxmlformats.org/drawingml/2006/main">
  <xdr:twoCellAnchor>
    <xdr:from>
      <xdr:col>1</xdr:col>
      <xdr:colOff>83242</xdr:colOff>
      <xdr:row>7</xdr:row>
      <xdr:rowOff>96291</xdr:rowOff>
    </xdr:from>
    <xdr:to>
      <xdr:col>28</xdr:col>
      <xdr:colOff>208429</xdr:colOff>
      <xdr:row>62</xdr:row>
      <xdr:rowOff>14112</xdr:rowOff>
    </xdr:to>
    <xdr:sp macro="" textlink="">
      <xdr:nvSpPr>
        <xdr:cNvPr id="3" name="Rectangle: Rounded Corners 2">
          <a:extLst>
            <a:ext uri="{FF2B5EF4-FFF2-40B4-BE49-F238E27FC236}">
              <a16:creationId xmlns:a16="http://schemas.microsoft.com/office/drawing/2014/main" id="{77CF97E6-3DE4-8219-7CA3-B44E38478165}"/>
            </a:ext>
          </a:extLst>
        </xdr:cNvPr>
        <xdr:cNvSpPr/>
      </xdr:nvSpPr>
      <xdr:spPr>
        <a:xfrm>
          <a:off x="788798" y="1479180"/>
          <a:ext cx="19175187" cy="10783376"/>
        </a:xfrm>
        <a:prstGeom prst="roundRect">
          <a:avLst>
            <a:gd name="adj" fmla="val 1855"/>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285752</xdr:colOff>
      <xdr:row>8</xdr:row>
      <xdr:rowOff>176891</xdr:rowOff>
    </xdr:from>
    <xdr:to>
      <xdr:col>7</xdr:col>
      <xdr:colOff>256762</xdr:colOff>
      <xdr:row>32</xdr:row>
      <xdr:rowOff>173935</xdr:rowOff>
    </xdr:to>
    <xdr:sp macro="" textlink="">
      <xdr:nvSpPr>
        <xdr:cNvPr id="7" name="Rectangle: Rounded Corners 6">
          <a:extLst>
            <a:ext uri="{FF2B5EF4-FFF2-40B4-BE49-F238E27FC236}">
              <a16:creationId xmlns:a16="http://schemas.microsoft.com/office/drawing/2014/main" id="{D6CFEF40-2EED-10AD-C998-ED206E569A9E}"/>
            </a:ext>
          </a:extLst>
        </xdr:cNvPr>
        <xdr:cNvSpPr/>
      </xdr:nvSpPr>
      <xdr:spPr>
        <a:xfrm>
          <a:off x="898665" y="1700891"/>
          <a:ext cx="3648488" cy="4569044"/>
        </a:xfrm>
        <a:prstGeom prst="roundRect">
          <a:avLst>
            <a:gd name="adj" fmla="val 1855"/>
          </a:avLst>
        </a:prstGeom>
        <a:solidFill>
          <a:srgbClr val="055C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7</xdr:col>
      <xdr:colOff>440872</xdr:colOff>
      <xdr:row>9</xdr:row>
      <xdr:rowOff>61230</xdr:rowOff>
    </xdr:from>
    <xdr:to>
      <xdr:col>13</xdr:col>
      <xdr:colOff>590550</xdr:colOff>
      <xdr:row>11</xdr:row>
      <xdr:rowOff>47625</xdr:rowOff>
    </xdr:to>
    <xdr:sp macro="" textlink="">
      <xdr:nvSpPr>
        <xdr:cNvPr id="10" name="TextBox 9">
          <a:extLst>
            <a:ext uri="{FF2B5EF4-FFF2-40B4-BE49-F238E27FC236}">
              <a16:creationId xmlns:a16="http://schemas.microsoft.com/office/drawing/2014/main" id="{3403D3EA-5903-22A1-43CF-22E4A60BDF3E}"/>
            </a:ext>
          </a:extLst>
        </xdr:cNvPr>
        <xdr:cNvSpPr txBox="1"/>
      </xdr:nvSpPr>
      <xdr:spPr>
        <a:xfrm>
          <a:off x="7146472" y="823230"/>
          <a:ext cx="3807278"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Compliance overview</a:t>
          </a:r>
        </a:p>
      </xdr:txBody>
    </xdr:sp>
    <xdr:clientData/>
  </xdr:twoCellAnchor>
  <xdr:twoCellAnchor>
    <xdr:from>
      <xdr:col>1</xdr:col>
      <xdr:colOff>340179</xdr:colOff>
      <xdr:row>8</xdr:row>
      <xdr:rowOff>176890</xdr:rowOff>
    </xdr:from>
    <xdr:to>
      <xdr:col>6</xdr:col>
      <xdr:colOff>149677</xdr:colOff>
      <xdr:row>11</xdr:row>
      <xdr:rowOff>136071</xdr:rowOff>
    </xdr:to>
    <xdr:sp macro="" textlink="">
      <xdr:nvSpPr>
        <xdr:cNvPr id="11" name="TextBox 10">
          <a:extLst>
            <a:ext uri="{FF2B5EF4-FFF2-40B4-BE49-F238E27FC236}">
              <a16:creationId xmlns:a16="http://schemas.microsoft.com/office/drawing/2014/main" id="{64669631-52E9-9432-AAC0-E1BE78107BB7}"/>
            </a:ext>
          </a:extLst>
        </xdr:cNvPr>
        <xdr:cNvSpPr txBox="1"/>
      </xdr:nvSpPr>
      <xdr:spPr>
        <a:xfrm>
          <a:off x="3401786" y="748390"/>
          <a:ext cx="2871105" cy="53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Compliance</a:t>
          </a:r>
        </a:p>
      </xdr:txBody>
    </xdr:sp>
    <xdr:clientData/>
  </xdr:twoCellAnchor>
  <xdr:twoCellAnchor>
    <xdr:from>
      <xdr:col>1</xdr:col>
      <xdr:colOff>353787</xdr:colOff>
      <xdr:row>11</xdr:row>
      <xdr:rowOff>81640</xdr:rowOff>
    </xdr:from>
    <xdr:to>
      <xdr:col>6</xdr:col>
      <xdr:colOff>421822</xdr:colOff>
      <xdr:row>13</xdr:row>
      <xdr:rowOff>40821</xdr:rowOff>
    </xdr:to>
    <xdr:sp macro="" textlink="">
      <xdr:nvSpPr>
        <xdr:cNvPr id="15" name="TextBox 14">
          <a:extLst>
            <a:ext uri="{FF2B5EF4-FFF2-40B4-BE49-F238E27FC236}">
              <a16:creationId xmlns:a16="http://schemas.microsoft.com/office/drawing/2014/main" id="{5F9C2104-8BBB-F6E4-2A9E-ADB3583DF350}"/>
            </a:ext>
          </a:extLst>
        </xdr:cNvPr>
        <xdr:cNvSpPr txBox="1"/>
      </xdr:nvSpPr>
      <xdr:spPr>
        <a:xfrm>
          <a:off x="3415394" y="1224640"/>
          <a:ext cx="3129642"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Overall compliance</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for all requirements</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xdr:col>
      <xdr:colOff>272142</xdr:colOff>
      <xdr:row>33</xdr:row>
      <xdr:rowOff>142873</xdr:rowOff>
    </xdr:from>
    <xdr:to>
      <xdr:col>27</xdr:col>
      <xdr:colOff>530086</xdr:colOff>
      <xdr:row>59</xdr:row>
      <xdr:rowOff>132522</xdr:rowOff>
    </xdr:to>
    <xdr:sp macro="" textlink="">
      <xdr:nvSpPr>
        <xdr:cNvPr id="19" name="Rectangle: Rounded Corners 18">
          <a:extLst>
            <a:ext uri="{FF2B5EF4-FFF2-40B4-BE49-F238E27FC236}">
              <a16:creationId xmlns:a16="http://schemas.microsoft.com/office/drawing/2014/main" id="{CA358AAA-CE02-BEC5-42AE-7E0B16D20A0D}"/>
            </a:ext>
          </a:extLst>
        </xdr:cNvPr>
        <xdr:cNvSpPr/>
      </xdr:nvSpPr>
      <xdr:spPr>
        <a:xfrm>
          <a:off x="885055" y="6429373"/>
          <a:ext cx="16193683" cy="4942649"/>
        </a:xfrm>
        <a:prstGeom prst="roundRect">
          <a:avLst>
            <a:gd name="adj" fmla="val 1855"/>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410936</xdr:colOff>
      <xdr:row>34</xdr:row>
      <xdr:rowOff>31278</xdr:rowOff>
    </xdr:from>
    <xdr:to>
      <xdr:col>7</xdr:col>
      <xdr:colOff>557893</xdr:colOff>
      <xdr:row>36</xdr:row>
      <xdr:rowOff>17673</xdr:rowOff>
    </xdr:to>
    <xdr:sp macro="" textlink="">
      <xdr:nvSpPr>
        <xdr:cNvPr id="18" name="TextBox 17">
          <a:extLst>
            <a:ext uri="{FF2B5EF4-FFF2-40B4-BE49-F238E27FC236}">
              <a16:creationId xmlns:a16="http://schemas.microsoft.com/office/drawing/2014/main" id="{FFA0B548-8DAB-3F3B-B54F-F152B581A36C}"/>
            </a:ext>
          </a:extLst>
        </xdr:cNvPr>
        <xdr:cNvSpPr txBox="1"/>
      </xdr:nvSpPr>
      <xdr:spPr>
        <a:xfrm>
          <a:off x="3472543" y="5555778"/>
          <a:ext cx="3820886"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Compliance</a:t>
          </a:r>
          <a:r>
            <a:rPr lang="en-US" sz="1600" b="1" baseline="0">
              <a:solidFill>
                <a:srgbClr val="003060"/>
              </a:solidFill>
              <a:latin typeface="Segoe UI Black" panose="020B0A02040204020203" pitchFamily="34" charset="0"/>
              <a:ea typeface="Segoe UI Black" panose="020B0A02040204020203" pitchFamily="34" charset="0"/>
            </a:rPr>
            <a:t> by Section</a:t>
          </a:r>
          <a:endParaRPr lang="en-US" sz="1600" b="1">
            <a:solidFill>
              <a:srgbClr val="003060"/>
            </a:solidFill>
            <a:latin typeface="Segoe UI Black" panose="020B0A02040204020203" pitchFamily="34" charset="0"/>
            <a:ea typeface="Segoe UI Black" panose="020B0A02040204020203" pitchFamily="34" charset="0"/>
          </a:endParaRPr>
        </a:p>
      </xdr:txBody>
    </xdr:sp>
    <xdr:clientData/>
  </xdr:twoCellAnchor>
  <xdr:twoCellAnchor>
    <xdr:from>
      <xdr:col>1</xdr:col>
      <xdr:colOff>514350</xdr:colOff>
      <xdr:row>38</xdr:row>
      <xdr:rowOff>13606</xdr:rowOff>
    </xdr:from>
    <xdr:to>
      <xdr:col>27</xdr:col>
      <xdr:colOff>197556</xdr:colOff>
      <xdr:row>38</xdr:row>
      <xdr:rowOff>14111</xdr:rowOff>
    </xdr:to>
    <xdr:cxnSp macro="">
      <xdr:nvCxnSpPr>
        <xdr:cNvPr id="21" name="Straight Connector 20">
          <a:extLst>
            <a:ext uri="{FF2B5EF4-FFF2-40B4-BE49-F238E27FC236}">
              <a16:creationId xmlns:a16="http://schemas.microsoft.com/office/drawing/2014/main" id="{AEBA1609-23D8-A6BE-C0D4-9BA50B6E0810}"/>
            </a:ext>
          </a:extLst>
        </xdr:cNvPr>
        <xdr:cNvCxnSpPr/>
      </xdr:nvCxnSpPr>
      <xdr:spPr>
        <a:xfrm>
          <a:off x="1219906" y="7520717"/>
          <a:ext cx="18027650" cy="5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449036</xdr:colOff>
      <xdr:row>35</xdr:row>
      <xdr:rowOff>164628</xdr:rowOff>
    </xdr:from>
    <xdr:to>
      <xdr:col>19</xdr:col>
      <xdr:colOff>342900</xdr:colOff>
      <xdr:row>37</xdr:row>
      <xdr:rowOff>151023</xdr:rowOff>
    </xdr:to>
    <xdr:sp macro="" textlink="">
      <xdr:nvSpPr>
        <xdr:cNvPr id="22" name="TextBox 21">
          <a:extLst>
            <a:ext uri="{FF2B5EF4-FFF2-40B4-BE49-F238E27FC236}">
              <a16:creationId xmlns:a16="http://schemas.microsoft.com/office/drawing/2014/main" id="{F9F6EC3A-2605-33CF-EAE0-44CE352E5C0D}"/>
            </a:ext>
          </a:extLst>
        </xdr:cNvPr>
        <xdr:cNvSpPr txBox="1"/>
      </xdr:nvSpPr>
      <xdr:spPr>
        <a:xfrm>
          <a:off x="3510643" y="5879628"/>
          <a:ext cx="1091565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Shows the compliance</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status of </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each section of the</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standard</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7</xdr:col>
      <xdr:colOff>571499</xdr:colOff>
      <xdr:row>13</xdr:row>
      <xdr:rowOff>37052</xdr:rowOff>
    </xdr:from>
    <xdr:to>
      <xdr:col>27</xdr:col>
      <xdr:colOff>176388</xdr:colOff>
      <xdr:row>13</xdr:row>
      <xdr:rowOff>42334</xdr:rowOff>
    </xdr:to>
    <xdr:cxnSp macro="">
      <xdr:nvCxnSpPr>
        <xdr:cNvPr id="26" name="Straight Connector 25">
          <a:extLst>
            <a:ext uri="{FF2B5EF4-FFF2-40B4-BE49-F238E27FC236}">
              <a16:creationId xmlns:a16="http://schemas.microsoft.com/office/drawing/2014/main" id="{1BF2EB46-128E-2C0F-4869-F65E31EEB704}"/>
            </a:ext>
          </a:extLst>
        </xdr:cNvPr>
        <xdr:cNvCxnSpPr/>
      </xdr:nvCxnSpPr>
      <xdr:spPr>
        <a:xfrm>
          <a:off x="5510388" y="2605274"/>
          <a:ext cx="13716000" cy="52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506186</xdr:colOff>
      <xdr:row>11</xdr:row>
      <xdr:rowOff>65297</xdr:rowOff>
    </xdr:from>
    <xdr:to>
      <xdr:col>21</xdr:col>
      <xdr:colOff>254000</xdr:colOff>
      <xdr:row>13</xdr:row>
      <xdr:rowOff>51692</xdr:rowOff>
    </xdr:to>
    <xdr:sp macro="" textlink="">
      <xdr:nvSpPr>
        <xdr:cNvPr id="27" name="TextBox 26">
          <a:extLst>
            <a:ext uri="{FF2B5EF4-FFF2-40B4-BE49-F238E27FC236}">
              <a16:creationId xmlns:a16="http://schemas.microsoft.com/office/drawing/2014/main" id="{9DDB1E15-841F-79C4-5C38-1628779BC245}"/>
            </a:ext>
          </a:extLst>
        </xdr:cNvPr>
        <xdr:cNvSpPr txBox="1"/>
      </xdr:nvSpPr>
      <xdr:spPr>
        <a:xfrm>
          <a:off x="5445075" y="2238408"/>
          <a:ext cx="9625592" cy="381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Overview of compliance by Annex and</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Mandatory Clauses and by compliance status</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xdr:col>
      <xdr:colOff>449035</xdr:colOff>
      <xdr:row>13</xdr:row>
      <xdr:rowOff>33130</xdr:rowOff>
    </xdr:from>
    <xdr:to>
      <xdr:col>7</xdr:col>
      <xdr:colOff>66946</xdr:colOff>
      <xdr:row>13</xdr:row>
      <xdr:rowOff>33130</xdr:rowOff>
    </xdr:to>
    <xdr:cxnSp macro="">
      <xdr:nvCxnSpPr>
        <xdr:cNvPr id="30" name="Straight Connector 29">
          <a:extLst>
            <a:ext uri="{FF2B5EF4-FFF2-40B4-BE49-F238E27FC236}">
              <a16:creationId xmlns:a16="http://schemas.microsoft.com/office/drawing/2014/main" id="{7E22B13B-5DE7-FFFF-C18E-857F304E4F43}"/>
            </a:ext>
          </a:extLst>
        </xdr:cNvPr>
        <xdr:cNvCxnSpPr/>
      </xdr:nvCxnSpPr>
      <xdr:spPr>
        <a:xfrm>
          <a:off x="1054153" y="2509630"/>
          <a:ext cx="324861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81644</xdr:colOff>
      <xdr:row>19</xdr:row>
      <xdr:rowOff>190497</xdr:rowOff>
    </xdr:from>
    <xdr:to>
      <xdr:col>5</xdr:col>
      <xdr:colOff>258536</xdr:colOff>
      <xdr:row>22</xdr:row>
      <xdr:rowOff>149678</xdr:rowOff>
    </xdr:to>
    <xdr:sp macro="" textlink="">
      <xdr:nvSpPr>
        <xdr:cNvPr id="32" name="TextBox 31">
          <a:extLst>
            <a:ext uri="{FF2B5EF4-FFF2-40B4-BE49-F238E27FC236}">
              <a16:creationId xmlns:a16="http://schemas.microsoft.com/office/drawing/2014/main" id="{2184D1F4-B09E-7D92-989A-40A43D0A741D}"/>
            </a:ext>
          </a:extLst>
        </xdr:cNvPr>
        <xdr:cNvSpPr txBox="1"/>
      </xdr:nvSpPr>
      <xdr:spPr>
        <a:xfrm>
          <a:off x="4367894" y="2857497"/>
          <a:ext cx="1401535" cy="53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xdr:from>
      <xdr:col>1</xdr:col>
      <xdr:colOff>386644</xdr:colOff>
      <xdr:row>13</xdr:row>
      <xdr:rowOff>132645</xdr:rowOff>
    </xdr:from>
    <xdr:to>
      <xdr:col>7</xdr:col>
      <xdr:colOff>107244</xdr:colOff>
      <xdr:row>31</xdr:row>
      <xdr:rowOff>132645</xdr:rowOff>
    </xdr:to>
    <xdr:graphicFrame macro="">
      <xdr:nvGraphicFramePr>
        <xdr:cNvPr id="3154" name="Chart 15">
          <a:extLst>
            <a:ext uri="{FF2B5EF4-FFF2-40B4-BE49-F238E27FC236}">
              <a16:creationId xmlns:a16="http://schemas.microsoft.com/office/drawing/2014/main" id="{F4EDA6E3-4DA3-E877-791D-AFD54D3CC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310444</xdr:colOff>
      <xdr:row>0</xdr:row>
      <xdr:rowOff>124178</xdr:rowOff>
    </xdr:from>
    <xdr:to>
      <xdr:col>24</xdr:col>
      <xdr:colOff>69144</xdr:colOff>
      <xdr:row>5</xdr:row>
      <xdr:rowOff>111478</xdr:rowOff>
    </xdr:to>
    <xdr:grpSp>
      <xdr:nvGrpSpPr>
        <xdr:cNvPr id="3155" name="Group 1">
          <a:extLst>
            <a:ext uri="{FF2B5EF4-FFF2-40B4-BE49-F238E27FC236}">
              <a16:creationId xmlns:a16="http://schemas.microsoft.com/office/drawing/2014/main" id="{608C288B-F1C3-982F-811E-1E3FDDC0FF27}"/>
            </a:ext>
          </a:extLst>
        </xdr:cNvPr>
        <xdr:cNvGrpSpPr>
          <a:grpSpLocks noChangeAspect="1"/>
        </xdr:cNvGrpSpPr>
      </xdr:nvGrpSpPr>
      <xdr:grpSpPr bwMode="auto">
        <a:xfrm>
          <a:off x="930376" y="124178"/>
          <a:ext cx="14017141" cy="891368"/>
          <a:chOff x="104776" y="0"/>
          <a:chExt cx="13671176" cy="941294"/>
        </a:xfrm>
      </xdr:grpSpPr>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8DB684-47CC-6B7A-82C1-24444318C401}"/>
              </a:ext>
            </a:extLst>
          </xdr:cNvPr>
          <xdr:cNvSpPr/>
        </xdr:nvSpPr>
        <xdr:spPr>
          <a:xfrm>
            <a:off x="104776" y="254404"/>
            <a:ext cx="2205382" cy="534248"/>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Segoe UI" panose="020B0502040204020203" pitchFamily="34" charset="0"/>
                <a:ea typeface="+mn-ea"/>
                <a:cs typeface="Segoe UI" panose="020B0502040204020203" pitchFamily="34" charset="0"/>
              </a:rPr>
              <a:t>allab</a:t>
            </a:r>
            <a:r>
              <a:rPr lang="en-US" sz="1800" b="1" baseline="0">
                <a:solidFill>
                  <a:schemeClr val="lt1"/>
                </a:solidFill>
                <a:effectLst/>
                <a:latin typeface="Segoe UI" panose="020B0502040204020203" pitchFamily="34" charset="0"/>
                <a:ea typeface="+mn-ea"/>
                <a:cs typeface="Segoe UI" panose="020B0502040204020203" pitchFamily="34" charset="0"/>
              </a:rPr>
              <a:t>outgrc.com</a:t>
            </a:r>
            <a:endParaRPr lang="en-US" sz="5400" b="1">
              <a:effectLst/>
              <a:latin typeface="Segoe UI" panose="020B0502040204020203" pitchFamily="34" charset="0"/>
              <a:cs typeface="Segoe UI" panose="020B0502040204020203" pitchFamily="34" charset="0"/>
            </a:endParaRPr>
          </a:p>
        </xdr:txBody>
      </xdr:sp>
      <xdr:sp macro="" textlink="">
        <xdr:nvSpPr>
          <xdr:cNvPr id="6" name="Rectangle 5">
            <a:extLst>
              <a:ext uri="{FF2B5EF4-FFF2-40B4-BE49-F238E27FC236}">
                <a16:creationId xmlns:a16="http://schemas.microsoft.com/office/drawing/2014/main" id="{5B012328-C908-22CD-4BE9-5D0E30DD5759}"/>
              </a:ext>
            </a:extLst>
          </xdr:cNvPr>
          <xdr:cNvSpPr/>
        </xdr:nvSpPr>
        <xdr:spPr>
          <a:xfrm>
            <a:off x="2551543" y="0"/>
            <a:ext cx="11224409"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000" b="1">
                <a:solidFill>
                  <a:srgbClr val="055C9D"/>
                </a:solidFill>
                <a:effectLst/>
                <a:latin typeface="Segoe UI" panose="020B0502040204020203" pitchFamily="34" charset="0"/>
                <a:ea typeface="+mn-ea"/>
                <a:cs typeface="Segoe UI" panose="020B0502040204020203" pitchFamily="34" charset="0"/>
              </a:rPr>
              <a:t>ISO 27001</a:t>
            </a:r>
            <a:r>
              <a:rPr lang="en-US" sz="4000" b="1" baseline="0">
                <a:solidFill>
                  <a:srgbClr val="055C9D"/>
                </a:solidFill>
                <a:effectLst/>
                <a:latin typeface="Segoe UI" panose="020B0502040204020203" pitchFamily="34" charset="0"/>
                <a:ea typeface="+mn-ea"/>
                <a:cs typeface="Segoe UI" panose="020B0502040204020203" pitchFamily="34" charset="0"/>
              </a:rPr>
              <a:t> Gap Assessment Template </a:t>
            </a:r>
            <a:endParaRPr lang="en-US" sz="4000" b="1">
              <a:solidFill>
                <a:srgbClr val="055C9D"/>
              </a:solidFill>
              <a:effectLst/>
              <a:latin typeface="Segoe UI" panose="020B0502040204020203" pitchFamily="34" charset="0"/>
              <a:cs typeface="Segoe UI" panose="020B0502040204020203" pitchFamily="34" charset="0"/>
            </a:endParaRPr>
          </a:p>
        </xdr:txBody>
      </xdr:sp>
    </xdr:grpSp>
    <xdr:clientData/>
  </xdr:twoCellAnchor>
  <xdr:twoCellAnchor>
    <xdr:from>
      <xdr:col>3</xdr:col>
      <xdr:colOff>107551</xdr:colOff>
      <xdr:row>19</xdr:row>
      <xdr:rowOff>126229</xdr:rowOff>
    </xdr:from>
    <xdr:to>
      <xdr:col>5</xdr:col>
      <xdr:colOff>517634</xdr:colOff>
      <xdr:row>24</xdr:row>
      <xdr:rowOff>194265</xdr:rowOff>
    </xdr:to>
    <xdr:sp macro="" textlink="Pivots!$H$11">
      <xdr:nvSpPr>
        <xdr:cNvPr id="34" name="percent_compliance">
          <a:extLst>
            <a:ext uri="{FF2B5EF4-FFF2-40B4-BE49-F238E27FC236}">
              <a16:creationId xmlns:a16="http://schemas.microsoft.com/office/drawing/2014/main" id="{0260F96F-1F24-F8C6-9FCA-B4FCE81D5E8C}"/>
            </a:ext>
          </a:extLst>
        </xdr:cNvPr>
        <xdr:cNvSpPr txBox="1"/>
      </xdr:nvSpPr>
      <xdr:spPr>
        <a:xfrm>
          <a:off x="2224218" y="3879785"/>
          <a:ext cx="1821194" cy="10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47546A-9F5A-164D-8713-244148E6F90A}" type="TxLink">
            <a:rPr lang="en-US" sz="4000" b="1" i="0" u="none" strike="noStrike">
              <a:solidFill>
                <a:schemeClr val="bg1"/>
              </a:solidFill>
              <a:latin typeface="Segoe UI" panose="020B0502040204020203" pitchFamily="34" charset="0"/>
              <a:ea typeface="Segoe UI Black" panose="020B0A02040204020203" pitchFamily="34" charset="0"/>
              <a:cs typeface="Segoe UI" panose="020B0502040204020203" pitchFamily="34" charset="0"/>
            </a:rPr>
            <a:pPr marL="0" indent="0" algn="ctr"/>
            <a:t>96%</a:t>
          </a:fld>
          <a:endParaRPr lang="en-US" sz="4000" b="1" i="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7</xdr:col>
      <xdr:colOff>622300</xdr:colOff>
      <xdr:row>13</xdr:row>
      <xdr:rowOff>190500</xdr:rowOff>
    </xdr:from>
    <xdr:to>
      <xdr:col>14</xdr:col>
      <xdr:colOff>84666</xdr:colOff>
      <xdr:row>31</xdr:row>
      <xdr:rowOff>190500</xdr:rowOff>
    </xdr:to>
    <xdr:graphicFrame macro="">
      <xdr:nvGraphicFramePr>
        <xdr:cNvPr id="3157" name="Chart 19">
          <a:extLst>
            <a:ext uri="{FF2B5EF4-FFF2-40B4-BE49-F238E27FC236}">
              <a16:creationId xmlns:a16="http://schemas.microsoft.com/office/drawing/2014/main" id="{D1E10F89-36FD-5DEF-3014-DB56159E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15</xdr:col>
      <xdr:colOff>56445</xdr:colOff>
      <xdr:row>14</xdr:row>
      <xdr:rowOff>39846</xdr:rowOff>
    </xdr:from>
    <xdr:to>
      <xdr:col>27</xdr:col>
      <xdr:colOff>225778</xdr:colOff>
      <xdr:row>32</xdr:row>
      <xdr:rowOff>39846</xdr:rowOff>
    </xdr:to>
    <xdr:graphicFrame macro="">
      <xdr:nvGraphicFramePr>
        <xdr:cNvPr id="8" name="Chart 19">
          <a:extLst>
            <a:ext uri="{FF2B5EF4-FFF2-40B4-BE49-F238E27FC236}">
              <a16:creationId xmlns:a16="http://schemas.microsoft.com/office/drawing/2014/main" id="{5620BE54-9C17-754C-9CD6-4C49AB82C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56445</xdr:colOff>
      <xdr:row>16</xdr:row>
      <xdr:rowOff>1409</xdr:rowOff>
    </xdr:from>
    <xdr:to>
      <xdr:col>15</xdr:col>
      <xdr:colOff>56445</xdr:colOff>
      <xdr:row>30</xdr:row>
      <xdr:rowOff>82971</xdr:rowOff>
    </xdr:to>
    <xdr:cxnSp macro="">
      <xdr:nvCxnSpPr>
        <xdr:cNvPr id="9" name="Straight Connector 8">
          <a:extLst>
            <a:ext uri="{FF2B5EF4-FFF2-40B4-BE49-F238E27FC236}">
              <a16:creationId xmlns:a16="http://schemas.microsoft.com/office/drawing/2014/main" id="{EA301ED2-C93E-B6C0-12EC-E8DD7CEF63D4}"/>
            </a:ext>
          </a:extLst>
        </xdr:cNvPr>
        <xdr:cNvCxnSpPr/>
      </xdr:nvCxnSpPr>
      <xdr:spPr>
        <a:xfrm>
          <a:off x="10639778" y="3162298"/>
          <a:ext cx="0" cy="28473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560498</xdr:colOff>
      <xdr:row>38</xdr:row>
      <xdr:rowOff>135817</xdr:rowOff>
    </xdr:from>
    <xdr:to>
      <xdr:col>27</xdr:col>
      <xdr:colOff>155221</xdr:colOff>
      <xdr:row>58</xdr:row>
      <xdr:rowOff>70555</xdr:rowOff>
    </xdr:to>
    <xdr:graphicFrame macro="">
      <xdr:nvGraphicFramePr>
        <xdr:cNvPr id="14" name="Chart 13">
          <a:extLst>
            <a:ext uri="{FF2B5EF4-FFF2-40B4-BE49-F238E27FC236}">
              <a16:creationId xmlns:a16="http://schemas.microsoft.com/office/drawing/2014/main" id="{EB93F2D5-9E38-2245-A229-E194981D6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101600</xdr:colOff>
      <xdr:row>0</xdr:row>
      <xdr:rowOff>0</xdr:rowOff>
    </xdr:from>
    <xdr:to>
      <xdr:col>13</xdr:col>
      <xdr:colOff>667737</xdr:colOff>
      <xdr:row>2</xdr:row>
      <xdr:rowOff>235938</xdr:rowOff>
    </xdr:to>
    <xdr:grpSp>
      <xdr:nvGrpSpPr>
        <xdr:cNvPr id="2" name="Group 1">
          <a:extLst>
            <a:ext uri="{FF2B5EF4-FFF2-40B4-BE49-F238E27FC236}">
              <a16:creationId xmlns:a16="http://schemas.microsoft.com/office/drawing/2014/main" id="{1191A83E-586F-E74C-8925-2AE39D81AF87}"/>
            </a:ext>
          </a:extLst>
        </xdr:cNvPr>
        <xdr:cNvGrpSpPr>
          <a:grpSpLocks noChangeAspect="1"/>
        </xdr:cNvGrpSpPr>
      </xdr:nvGrpSpPr>
      <xdr:grpSpPr bwMode="auto">
        <a:xfrm>
          <a:off x="101600" y="0"/>
          <a:ext cx="14419297" cy="990318"/>
          <a:chOff x="104776" y="0"/>
          <a:chExt cx="13671176" cy="941294"/>
        </a:xfrm>
      </xdr:grpSpPr>
      <xdr:sp macro="" textlink="">
        <xdr:nvSpPr>
          <xdr:cNvPr id="3" name="Rectangle: Rounded Corners 4">
            <a:hlinkClick xmlns:r="http://schemas.openxmlformats.org/officeDocument/2006/relationships" r:id="rId1"/>
            <a:extLst>
              <a:ext uri="{FF2B5EF4-FFF2-40B4-BE49-F238E27FC236}">
                <a16:creationId xmlns:a16="http://schemas.microsoft.com/office/drawing/2014/main" id="{B365C277-950E-2075-39A3-AB71FB2954AE}"/>
              </a:ext>
            </a:extLst>
          </xdr:cNvPr>
          <xdr:cNvSpPr/>
        </xdr:nvSpPr>
        <xdr:spPr>
          <a:xfrm>
            <a:off x="104776" y="254404"/>
            <a:ext cx="2205382" cy="534248"/>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Segoe UI" panose="020B0502040204020203" pitchFamily="34" charset="0"/>
                <a:ea typeface="+mn-ea"/>
                <a:cs typeface="Segoe UI" panose="020B0502040204020203" pitchFamily="34" charset="0"/>
              </a:rPr>
              <a:t>allab</a:t>
            </a:r>
            <a:r>
              <a:rPr lang="en-US" sz="1800" b="1" baseline="0">
                <a:solidFill>
                  <a:schemeClr val="lt1"/>
                </a:solidFill>
                <a:effectLst/>
                <a:latin typeface="Segoe UI" panose="020B0502040204020203" pitchFamily="34" charset="0"/>
                <a:ea typeface="+mn-ea"/>
                <a:cs typeface="Segoe UI" panose="020B0502040204020203" pitchFamily="34" charset="0"/>
              </a:rPr>
              <a:t>outgrc.com</a:t>
            </a:r>
            <a:endParaRPr lang="en-US" sz="5400" b="1">
              <a:effectLst/>
              <a:latin typeface="Segoe UI" panose="020B0502040204020203" pitchFamily="34" charset="0"/>
              <a:cs typeface="Segoe UI" panose="020B0502040204020203" pitchFamily="34" charset="0"/>
            </a:endParaRPr>
          </a:p>
        </xdr:txBody>
      </xdr:sp>
      <xdr:sp macro="" textlink="">
        <xdr:nvSpPr>
          <xdr:cNvPr id="6" name="Rectangle 5">
            <a:extLst>
              <a:ext uri="{FF2B5EF4-FFF2-40B4-BE49-F238E27FC236}">
                <a16:creationId xmlns:a16="http://schemas.microsoft.com/office/drawing/2014/main" id="{255138E0-F0AD-65E2-697F-D13B5AB60353}"/>
              </a:ext>
            </a:extLst>
          </xdr:cNvPr>
          <xdr:cNvSpPr/>
        </xdr:nvSpPr>
        <xdr:spPr>
          <a:xfrm>
            <a:off x="2551543" y="0"/>
            <a:ext cx="11224409"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000" b="1">
                <a:solidFill>
                  <a:srgbClr val="055C9D"/>
                </a:solidFill>
                <a:effectLst/>
                <a:latin typeface="Segoe UI" panose="020B0502040204020203" pitchFamily="34" charset="0"/>
                <a:ea typeface="+mn-ea"/>
                <a:cs typeface="Segoe UI" panose="020B0502040204020203" pitchFamily="34" charset="0"/>
              </a:rPr>
              <a:t>ISO 27001</a:t>
            </a:r>
            <a:r>
              <a:rPr lang="en-US" sz="4000" b="1" baseline="0">
                <a:solidFill>
                  <a:srgbClr val="055C9D"/>
                </a:solidFill>
                <a:effectLst/>
                <a:latin typeface="Segoe UI" panose="020B0502040204020203" pitchFamily="34" charset="0"/>
                <a:ea typeface="+mn-ea"/>
                <a:cs typeface="Segoe UI" panose="020B0502040204020203" pitchFamily="34" charset="0"/>
              </a:rPr>
              <a:t> Gap Assessment Template </a:t>
            </a:r>
            <a:endParaRPr lang="en-US" sz="4000" b="1">
              <a:solidFill>
                <a:srgbClr val="055C9D"/>
              </a:solidFill>
              <a:effectLst/>
              <a:latin typeface="Segoe UI" panose="020B0502040204020203" pitchFamily="34" charset="0"/>
              <a:cs typeface="Segoe UI" panose="020B050204020402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83821</xdr:colOff>
      <xdr:row>0</xdr:row>
      <xdr:rowOff>99061</xdr:rowOff>
    </xdr:from>
    <xdr:to>
      <xdr:col>1</xdr:col>
      <xdr:colOff>480061</xdr:colOff>
      <xdr:row>1</xdr:row>
      <xdr:rowOff>1</xdr:rowOff>
    </xdr:to>
    <xdr:sp macro="" textlink="">
      <xdr:nvSpPr>
        <xdr:cNvPr id="2" name="Rectangle: Rounded Corners 1">
          <a:extLst>
            <a:ext uri="{FF2B5EF4-FFF2-40B4-BE49-F238E27FC236}">
              <a16:creationId xmlns:a16="http://schemas.microsoft.com/office/drawing/2014/main" id="{D569CB6C-CEA1-46BF-91B6-E355EE6B26E2}"/>
            </a:ext>
          </a:extLst>
        </xdr:cNvPr>
        <xdr:cNvSpPr/>
      </xdr:nvSpPr>
      <xdr:spPr bwMode="auto">
        <a:xfrm>
          <a:off x="83821" y="99061"/>
          <a:ext cx="1005840" cy="342900"/>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Segoe UI" panose="020B0502040204020203" pitchFamily="34" charset="0"/>
              <a:cs typeface="Segoe UI" panose="020B0502040204020203" pitchFamily="34" charset="0"/>
            </a:rPr>
            <a:t>Initial</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700175</xdr:colOff>
      <xdr:row>0</xdr:row>
      <xdr:rowOff>0</xdr:rowOff>
    </xdr:from>
    <xdr:to>
      <xdr:col>4</xdr:col>
      <xdr:colOff>1220421</xdr:colOff>
      <xdr:row>1</xdr:row>
      <xdr:rowOff>127000</xdr:rowOff>
    </xdr:to>
    <xdr:sp macro="" textlink="">
      <xdr:nvSpPr>
        <xdr:cNvPr id="7" name="Rectangle 6">
          <a:extLst>
            <a:ext uri="{FF2B5EF4-FFF2-40B4-BE49-F238E27FC236}">
              <a16:creationId xmlns:a16="http://schemas.microsoft.com/office/drawing/2014/main" id="{411747F4-BA35-0FAF-99D3-AF324C2C1268}"/>
            </a:ext>
          </a:extLst>
        </xdr:cNvPr>
        <xdr:cNvSpPr/>
      </xdr:nvSpPr>
      <xdr:spPr bwMode="auto">
        <a:xfrm>
          <a:off x="2184897" y="0"/>
          <a:ext cx="9884204" cy="943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ISO 27001</a:t>
          </a:r>
          <a:r>
            <a:rPr lang="en-US" sz="3600" b="1" baseline="0">
              <a:solidFill>
                <a:srgbClr val="055C9D"/>
              </a:solidFill>
              <a:effectLst/>
              <a:latin typeface="Segoe UI" panose="020B0502040204020203" pitchFamily="34" charset="0"/>
              <a:ea typeface="+mn-ea"/>
              <a:cs typeface="Segoe UI" panose="020B0502040204020203" pitchFamily="34" charset="0"/>
            </a:rPr>
            <a:t> Gap Assessment Template</a:t>
          </a:r>
          <a:endParaRPr lang="en-US" sz="3600" b="1">
            <a:solidFill>
              <a:srgbClr val="055C9D"/>
            </a:solidFill>
            <a:effectLst/>
            <a:latin typeface="Segoe UI" panose="020B0502040204020203" pitchFamily="34" charset="0"/>
            <a:cs typeface="Segoe UI" panose="020B0502040204020203" pitchFamily="34" charset="0"/>
          </a:endParaRPr>
        </a:p>
      </xdr:txBody>
    </xdr:sp>
    <xdr:clientData/>
  </xdr:twoCellAnchor>
  <xdr:twoCellAnchor>
    <xdr:from>
      <xdr:col>0</xdr:col>
      <xdr:colOff>39279</xdr:colOff>
      <xdr:row>0</xdr:row>
      <xdr:rowOff>212104</xdr:rowOff>
    </xdr:from>
    <xdr:to>
      <xdr:col>1</xdr:col>
      <xdr:colOff>619290</xdr:colOff>
      <xdr:row>0</xdr:row>
      <xdr:rowOff>726827</xdr:rowOff>
    </xdr:to>
    <xdr:sp macro="" textlink="">
      <xdr:nvSpPr>
        <xdr:cNvPr id="2" name="Rectangle: Rounded Corners 1">
          <a:extLst>
            <a:ext uri="{FF2B5EF4-FFF2-40B4-BE49-F238E27FC236}">
              <a16:creationId xmlns:a16="http://schemas.microsoft.com/office/drawing/2014/main" id="{AC6BF72A-A5F5-424D-897C-445E33D461A4}"/>
            </a:ext>
          </a:extLst>
        </xdr:cNvPr>
        <xdr:cNvSpPr/>
      </xdr:nvSpPr>
      <xdr:spPr bwMode="auto">
        <a:xfrm>
          <a:off x="39279" y="212104"/>
          <a:ext cx="2064733" cy="514723"/>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Segoe UI" panose="020B0502040204020203" pitchFamily="34" charset="0"/>
              <a:cs typeface="Segoe UI" panose="020B0502040204020203" pitchFamily="34" charset="0"/>
            </a:rPr>
            <a:t>Final</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08D754-E254-5C46-800C-99041E34C8E6}" name="RequirementsTable" displayName="RequirementsTable" ref="A3:F125" totalsRowShown="0" headerRowDxfId="10" dataDxfId="8" headerRowBorderDxfId="9" tableBorderDxfId="7" totalsRowBorderDxfId="6">
  <autoFilter ref="A3:F125" xr:uid="{0AACBB4D-2D29-C646-A38D-53D5C6117B10}"/>
  <tableColumns count="6">
    <tableColumn id="1" xr3:uid="{00000000-0010-0000-0100-000001000000}" name="Category" dataDxfId="5"/>
    <tableColumn id="8" xr3:uid="{00000000-0010-0000-0100-000008000000}" name="Section" dataDxfId="4"/>
    <tableColumn id="3" xr3:uid="{00000000-0010-0000-0100-000003000000}" name="Standard Ref" dataDxfId="3"/>
    <tableColumn id="4" xr3:uid="{00000000-0010-0000-0100-000004000000}" name="Assessment Question" dataDxfId="2"/>
    <tableColumn id="6" xr3:uid="{00000000-0010-0000-0100-000006000000}" name="Compliance" dataDxfId="1"/>
    <tableColumn id="7" xr3:uid="{00000000-0010-0000-0100-000007000000}" name="Notes" dataDxfId="0"/>
  </tableColumns>
  <tableStyleInfo name="Custom Blu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C0BE-921B-8846-AFF4-6A2F7B4530F2}">
  <dimension ref="A28:AD28"/>
  <sheetViews>
    <sheetView showGridLines="0" zoomScale="59" zoomScaleNormal="90" workbookViewId="0">
      <selection activeCell="AD2" sqref="AD2"/>
    </sheetView>
  </sheetViews>
  <sheetFormatPr defaultColWidth="0" defaultRowHeight="14.4" x14ac:dyDescent="0.3"/>
  <cols>
    <col min="1" max="30" width="9.109375" customWidth="1"/>
    <col min="31" max="16384" width="9.109375" hidden="1"/>
  </cols>
  <sheetData>
    <row r="28" spans="1:1" x14ac:dyDescent="0.3">
      <c r="A28" t="s">
        <v>8</v>
      </c>
    </row>
  </sheetData>
  <printOptions gridLines="1"/>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8ED5-8F06-7E4B-B500-B30C62AFBC3F}">
  <dimension ref="A1:L37"/>
  <sheetViews>
    <sheetView showGridLines="0" topLeftCell="A10" zoomScaleNormal="100" workbookViewId="0">
      <selection activeCell="B1" sqref="B1"/>
    </sheetView>
  </sheetViews>
  <sheetFormatPr defaultColWidth="9.109375" defaultRowHeight="15" x14ac:dyDescent="0.35"/>
  <cols>
    <col min="1" max="1" width="9.109375" style="29"/>
    <col min="2" max="2" width="30.6640625" style="29" customWidth="1"/>
    <col min="3" max="8" width="16.6640625" style="29" customWidth="1"/>
    <col min="9" max="9" width="10.33203125" style="29" bestFit="1" customWidth="1"/>
    <col min="10" max="10" width="14.109375" style="29" bestFit="1" customWidth="1"/>
    <col min="11" max="11" width="14" style="29" bestFit="1" customWidth="1"/>
    <col min="12" max="12" width="18.109375" style="29" bestFit="1" customWidth="1"/>
    <col min="13" max="13" width="5.6640625" style="29" bestFit="1" customWidth="1"/>
    <col min="14" max="14" width="14" style="29" bestFit="1" customWidth="1"/>
    <col min="15" max="15" width="15.44140625" style="29" bestFit="1" customWidth="1"/>
    <col min="16" max="16384" width="9.109375" style="29"/>
  </cols>
  <sheetData>
    <row r="1" spans="1:12" s="26" customFormat="1" ht="25.05" customHeight="1" x14ac:dyDescent="0.3">
      <c r="A1" s="24"/>
      <c r="B1" s="24"/>
      <c r="C1" s="24"/>
      <c r="D1" s="24"/>
      <c r="E1" s="24"/>
      <c r="F1" s="24"/>
      <c r="G1" s="24"/>
      <c r="H1" s="24"/>
      <c r="I1" s="25"/>
      <c r="J1" s="25"/>
      <c r="K1" s="25"/>
      <c r="L1" s="25"/>
    </row>
    <row r="2" spans="1:12" s="26" customFormat="1" ht="34.799999999999997" x14ac:dyDescent="0.3">
      <c r="A2" s="27"/>
      <c r="B2" s="28"/>
      <c r="C2" s="28"/>
      <c r="D2" s="28"/>
      <c r="E2" s="28"/>
      <c r="F2" s="28"/>
      <c r="G2" s="28"/>
      <c r="H2" s="28"/>
      <c r="I2" s="25"/>
      <c r="J2" s="25"/>
      <c r="K2" s="25"/>
      <c r="L2" s="25"/>
    </row>
    <row r="3" spans="1:12" s="26" customFormat="1" ht="30" customHeight="1" x14ac:dyDescent="0.3">
      <c r="A3" s="65"/>
      <c r="B3" s="65"/>
      <c r="C3" s="65"/>
      <c r="D3" s="65"/>
      <c r="E3" s="65"/>
      <c r="F3" s="65"/>
      <c r="G3" s="65"/>
      <c r="H3" s="65"/>
      <c r="I3" s="25"/>
      <c r="J3" s="25"/>
      <c r="K3" s="25"/>
      <c r="L3" s="25"/>
    </row>
    <row r="7" spans="1:12" ht="16.8" x14ac:dyDescent="0.4">
      <c r="B7" s="30"/>
      <c r="C7" s="30"/>
      <c r="D7" s="30"/>
      <c r="E7" s="30"/>
      <c r="F7" s="30"/>
      <c r="G7" s="30"/>
      <c r="H7" s="30"/>
      <c r="I7" s="30"/>
    </row>
    <row r="8" spans="1:12" s="31" customFormat="1" ht="31.95" customHeight="1" x14ac:dyDescent="0.3">
      <c r="B8" s="32" t="s">
        <v>9</v>
      </c>
      <c r="C8" s="33" t="s">
        <v>4</v>
      </c>
      <c r="D8" s="33" t="s">
        <v>2</v>
      </c>
      <c r="E8" s="33" t="s">
        <v>3</v>
      </c>
      <c r="F8" s="33" t="s">
        <v>6</v>
      </c>
      <c r="G8" s="33" t="s">
        <v>147</v>
      </c>
      <c r="H8" s="33" t="s">
        <v>148</v>
      </c>
      <c r="I8" s="34"/>
    </row>
    <row r="9" spans="1:12" ht="16.8" x14ac:dyDescent="0.4">
      <c r="B9" s="35" t="s">
        <v>11</v>
      </c>
      <c r="C9" s="36">
        <f>COUNTIFS(RequirementsTable[Category], $B9, RequirementsTable[Compliance], $C$8)</f>
        <v>93</v>
      </c>
      <c r="D9" s="36">
        <f>COUNTIFS(RequirementsTable[Category], $B9, RequirementsTable[Compliance], $D$8)</f>
        <v>0</v>
      </c>
      <c r="E9" s="36">
        <f>COUNTIFS(RequirementsTable[Category], $B9, RequirementsTable[Compliance], $E$8)</f>
        <v>0</v>
      </c>
      <c r="F9" s="36">
        <f>COUNTIFS(RequirementsTable[Category], $B9, RequirementsTable[Compliance], $F$8)</f>
        <v>0</v>
      </c>
      <c r="G9" s="36">
        <f>COUNTIFS(RequirementsTable[Category], $B9)</f>
        <v>93</v>
      </c>
      <c r="H9" s="37">
        <f>C9/(G9-F9)</f>
        <v>1</v>
      </c>
      <c r="I9" s="30"/>
    </row>
    <row r="10" spans="1:12" ht="16.8" x14ac:dyDescent="0.4">
      <c r="B10" s="35" t="s">
        <v>10</v>
      </c>
      <c r="C10" s="36">
        <f>COUNTIFS(RequirementsTable[Category], $B10, RequirementsTable[Compliance], $C$8)</f>
        <v>24</v>
      </c>
      <c r="D10" s="36">
        <f>COUNTIFS(RequirementsTable[Category], $B10, RequirementsTable[Compliance], $D$8)</f>
        <v>4</v>
      </c>
      <c r="E10" s="36">
        <f>COUNTIFS(RequirementsTable[Category], $B10, RequirementsTable[Compliance], $E$8)</f>
        <v>1</v>
      </c>
      <c r="F10" s="36">
        <f>COUNTIFS(RequirementsTable[Category], $B10, RequirementsTable[Compliance], $F$8)</f>
        <v>0</v>
      </c>
      <c r="G10" s="36">
        <f>COUNTIFS(RequirementsTable[Category], $B10)</f>
        <v>29</v>
      </c>
      <c r="H10" s="37">
        <f>C10/(G10-F10)</f>
        <v>0.82758620689655171</v>
      </c>
      <c r="I10" s="30"/>
    </row>
    <row r="11" spans="1:12" ht="16.8" x14ac:dyDescent="0.4">
      <c r="B11" s="38" t="s">
        <v>5</v>
      </c>
      <c r="C11" s="39">
        <f>SUM(C9:C10)</f>
        <v>117</v>
      </c>
      <c r="D11" s="39">
        <f>SUM(D9:D10)</f>
        <v>4</v>
      </c>
      <c r="E11" s="39">
        <f>SUM(E9:E10)</f>
        <v>1</v>
      </c>
      <c r="F11" s="39">
        <f>SUM(F9:F10)</f>
        <v>0</v>
      </c>
      <c r="G11" s="39">
        <f>SUM(G9:G10)</f>
        <v>122</v>
      </c>
      <c r="H11" s="40">
        <f>C11/(G11-F11)</f>
        <v>0.95901639344262291</v>
      </c>
      <c r="I11" s="30"/>
    </row>
    <row r="12" spans="1:12" ht="16.8" x14ac:dyDescent="0.4">
      <c r="B12" s="30"/>
      <c r="C12" s="30"/>
      <c r="D12" s="30"/>
      <c r="E12" s="30"/>
      <c r="F12" s="30"/>
      <c r="G12" s="30"/>
      <c r="H12" s="30"/>
      <c r="I12" s="30"/>
    </row>
    <row r="13" spans="1:12" ht="16.8" x14ac:dyDescent="0.4">
      <c r="B13" s="30"/>
      <c r="C13" s="30"/>
      <c r="D13" s="30"/>
      <c r="E13" s="30"/>
      <c r="F13" s="30"/>
      <c r="G13" s="30"/>
      <c r="H13" s="30"/>
      <c r="I13" s="30"/>
    </row>
    <row r="16" spans="1:12" ht="33.6" x14ac:dyDescent="0.35">
      <c r="B16" s="32" t="s">
        <v>7</v>
      </c>
      <c r="C16" s="33" t="s">
        <v>4</v>
      </c>
      <c r="D16" s="33" t="s">
        <v>2</v>
      </c>
      <c r="E16" s="33" t="s">
        <v>3</v>
      </c>
      <c r="F16" s="33" t="s">
        <v>6</v>
      </c>
      <c r="G16" s="33" t="s">
        <v>147</v>
      </c>
      <c r="H16" s="33" t="s">
        <v>148</v>
      </c>
    </row>
    <row r="17" spans="2:9" ht="16.8" x14ac:dyDescent="0.4">
      <c r="B17" s="29" t="s">
        <v>12</v>
      </c>
      <c r="C17" s="41">
        <f>COUNTIFS(RequirementsTable[Section], $B17, RequirementsTable[Compliance], C$16)</f>
        <v>2</v>
      </c>
      <c r="D17" s="41">
        <f>COUNTIFS(RequirementsTable[Section], $B17, RequirementsTable[Compliance], D$16)</f>
        <v>2</v>
      </c>
      <c r="E17" s="41">
        <f>COUNTIFS(RequirementsTable[Section], $B17, RequirementsTable[Compliance], E$16)</f>
        <v>0</v>
      </c>
      <c r="F17" s="41">
        <f>COUNTIFS(RequirementsTable[Section], $B17, RequirementsTable[Compliance], F$16)</f>
        <v>0</v>
      </c>
      <c r="G17" s="41">
        <f>COUNTIFS(RequirementsTable[Section], $B17)</f>
        <v>4</v>
      </c>
      <c r="H17" s="37">
        <f>C17/(G17-F17)</f>
        <v>0.5</v>
      </c>
    </row>
    <row r="18" spans="2:9" ht="16.8" x14ac:dyDescent="0.4">
      <c r="B18" s="29" t="s">
        <v>13</v>
      </c>
      <c r="C18" s="41">
        <f>COUNTIFS(RequirementsTable[Section], $B18, RequirementsTable[Compliance], C$16)</f>
        <v>3</v>
      </c>
      <c r="D18" s="41">
        <f>COUNTIFS(RequirementsTable[Section], $B18, RequirementsTable[Compliance], D$16)</f>
        <v>0</v>
      </c>
      <c r="E18" s="41">
        <f>COUNTIFS(RequirementsTable[Section], $B18, RequirementsTable[Compliance], E$16)</f>
        <v>0</v>
      </c>
      <c r="F18" s="41">
        <f>COUNTIFS(RequirementsTable[Section], $B18, RequirementsTable[Compliance], F$16)</f>
        <v>0</v>
      </c>
      <c r="G18" s="41">
        <f>COUNTIFS(RequirementsTable[Section], $B18)</f>
        <v>3</v>
      </c>
      <c r="H18" s="37">
        <f>C18/(G18-F18)</f>
        <v>1</v>
      </c>
    </row>
    <row r="19" spans="2:9" ht="16.8" x14ac:dyDescent="0.4">
      <c r="B19" s="29" t="s">
        <v>14</v>
      </c>
      <c r="C19" s="41">
        <f>COUNTIFS(RequirementsTable[Section], $B19, RequirementsTable[Compliance], C$16)</f>
        <v>1</v>
      </c>
      <c r="D19" s="41">
        <f>COUNTIFS(RequirementsTable[Section], $B19, RequirementsTable[Compliance], D$16)</f>
        <v>2</v>
      </c>
      <c r="E19" s="41">
        <f>COUNTIFS(RequirementsTable[Section], $B19, RequirementsTable[Compliance], E$16)</f>
        <v>1</v>
      </c>
      <c r="F19" s="41">
        <f>COUNTIFS(RequirementsTable[Section], $B19, RequirementsTable[Compliance], F$16)</f>
        <v>0</v>
      </c>
      <c r="G19" s="41">
        <f>COUNTIFS(RequirementsTable[Section], $B19)</f>
        <v>4</v>
      </c>
      <c r="H19" s="37">
        <f t="shared" ref="H19:H27" si="0">C19/(G19-F19)</f>
        <v>0.25</v>
      </c>
    </row>
    <row r="20" spans="2:9" ht="16.8" x14ac:dyDescent="0.4">
      <c r="B20" s="29" t="s">
        <v>15</v>
      </c>
      <c r="C20" s="41">
        <f>COUNTIFS(RequirementsTable[Section], $B20, RequirementsTable[Compliance], C$16)</f>
        <v>7</v>
      </c>
      <c r="D20" s="41">
        <f>COUNTIFS(RequirementsTable[Section], $B20, RequirementsTable[Compliance], D$16)</f>
        <v>0</v>
      </c>
      <c r="E20" s="41">
        <f>COUNTIFS(RequirementsTable[Section], $B20, RequirementsTable[Compliance], E$16)</f>
        <v>0</v>
      </c>
      <c r="F20" s="41">
        <f>COUNTIFS(RequirementsTable[Section], $B20, RequirementsTable[Compliance], F$16)</f>
        <v>0</v>
      </c>
      <c r="G20" s="41">
        <f>COUNTIFS(RequirementsTable[Section], $B20)</f>
        <v>7</v>
      </c>
      <c r="H20" s="37">
        <f t="shared" si="0"/>
        <v>1</v>
      </c>
      <c r="I20" s="30"/>
    </row>
    <row r="21" spans="2:9" ht="16.8" x14ac:dyDescent="0.4">
      <c r="B21" s="29" t="s">
        <v>16</v>
      </c>
      <c r="C21" s="41">
        <f>COUNTIFS(RequirementsTable[Section], $B21, RequirementsTable[Compliance], C$16)</f>
        <v>3</v>
      </c>
      <c r="D21" s="41">
        <f>COUNTIFS(RequirementsTable[Section], $B21, RequirementsTable[Compliance], D$16)</f>
        <v>0</v>
      </c>
      <c r="E21" s="41">
        <f>COUNTIFS(RequirementsTable[Section], $B21, RequirementsTable[Compliance], E$16)</f>
        <v>0</v>
      </c>
      <c r="F21" s="41">
        <f>COUNTIFS(RequirementsTable[Section], $B21, RequirementsTable[Compliance], F$16)</f>
        <v>0</v>
      </c>
      <c r="G21" s="41">
        <f>COUNTIFS(RequirementsTable[Section], $B21)</f>
        <v>3</v>
      </c>
      <c r="H21" s="37">
        <f t="shared" si="0"/>
        <v>1</v>
      </c>
      <c r="I21" s="30"/>
    </row>
    <row r="22" spans="2:9" ht="16.8" x14ac:dyDescent="0.4">
      <c r="B22" s="29" t="s">
        <v>17</v>
      </c>
      <c r="C22" s="41">
        <f>COUNTIFS(RequirementsTable[Section], $B22, RequirementsTable[Compliance], C$16)</f>
        <v>6</v>
      </c>
      <c r="D22" s="41">
        <f>COUNTIFS(RequirementsTable[Section], $B22, RequirementsTable[Compliance], D$16)</f>
        <v>0</v>
      </c>
      <c r="E22" s="41">
        <f>COUNTIFS(RequirementsTable[Section], $B22, RequirementsTable[Compliance], E$16)</f>
        <v>0</v>
      </c>
      <c r="F22" s="41">
        <f>COUNTIFS(RequirementsTable[Section], $B22, RequirementsTable[Compliance], F$16)</f>
        <v>0</v>
      </c>
      <c r="G22" s="41">
        <f>COUNTIFS(RequirementsTable[Section], $B22)</f>
        <v>6</v>
      </c>
      <c r="H22" s="37">
        <f t="shared" si="0"/>
        <v>1</v>
      </c>
      <c r="I22" s="30"/>
    </row>
    <row r="23" spans="2:9" ht="16.8" x14ac:dyDescent="0.4">
      <c r="B23" s="29" t="s">
        <v>18</v>
      </c>
      <c r="C23" s="41">
        <f>COUNTIFS(RequirementsTable[Section], $B23, RequirementsTable[Compliance], C$16)</f>
        <v>2</v>
      </c>
      <c r="D23" s="41">
        <f>COUNTIFS(RequirementsTable[Section], $B23, RequirementsTable[Compliance], D$16)</f>
        <v>0</v>
      </c>
      <c r="E23" s="41">
        <f>COUNTIFS(RequirementsTable[Section], $B23, RequirementsTable[Compliance], E$16)</f>
        <v>0</v>
      </c>
      <c r="F23" s="41">
        <f>COUNTIFS(RequirementsTable[Section], $B23, RequirementsTable[Compliance], F$16)</f>
        <v>0</v>
      </c>
      <c r="G23" s="41">
        <f>COUNTIFS(RequirementsTable[Section], $B23)</f>
        <v>2</v>
      </c>
      <c r="H23" s="37">
        <f t="shared" si="0"/>
        <v>1</v>
      </c>
      <c r="I23" s="30"/>
    </row>
    <row r="24" spans="2:9" ht="16.8" x14ac:dyDescent="0.4">
      <c r="B24" s="29" t="s">
        <v>19</v>
      </c>
      <c r="C24" s="41">
        <f>COUNTIFS(RequirementsTable[Section], $B24, RequirementsTable[Compliance], C$16)</f>
        <v>37</v>
      </c>
      <c r="D24" s="41">
        <f>COUNTIFS(RequirementsTable[Section], $B24, RequirementsTable[Compliance], D$16)</f>
        <v>0</v>
      </c>
      <c r="E24" s="41">
        <f>COUNTIFS(RequirementsTable[Section], $B24, RequirementsTable[Compliance], E$16)</f>
        <v>0</v>
      </c>
      <c r="F24" s="41">
        <f>COUNTIFS(RequirementsTable[Section], $B24, RequirementsTable[Compliance], F$16)</f>
        <v>0</v>
      </c>
      <c r="G24" s="41">
        <f>COUNTIFS(RequirementsTable[Section], $B24)</f>
        <v>37</v>
      </c>
      <c r="H24" s="37">
        <f t="shared" si="0"/>
        <v>1</v>
      </c>
      <c r="I24" s="30"/>
    </row>
    <row r="25" spans="2:9" ht="16.8" x14ac:dyDescent="0.4">
      <c r="B25" s="29" t="s">
        <v>20</v>
      </c>
      <c r="C25" s="41">
        <f>COUNTIFS(RequirementsTable[Section], $B25, RequirementsTable[Compliance], C$16)</f>
        <v>8</v>
      </c>
      <c r="D25" s="41">
        <f>COUNTIFS(RequirementsTable[Section], $B25, RequirementsTable[Compliance], D$16)</f>
        <v>0</v>
      </c>
      <c r="E25" s="41">
        <f>COUNTIFS(RequirementsTable[Section], $B25, RequirementsTable[Compliance], E$16)</f>
        <v>0</v>
      </c>
      <c r="F25" s="41">
        <f>COUNTIFS(RequirementsTable[Section], $B25, RequirementsTable[Compliance], F$16)</f>
        <v>0</v>
      </c>
      <c r="G25" s="41">
        <f>COUNTIFS(RequirementsTable[Section], $B25)</f>
        <v>8</v>
      </c>
      <c r="H25" s="37">
        <f t="shared" si="0"/>
        <v>1</v>
      </c>
      <c r="I25" s="30"/>
    </row>
    <row r="26" spans="2:9" ht="16.8" x14ac:dyDescent="0.4">
      <c r="B26" s="29" t="s">
        <v>21</v>
      </c>
      <c r="C26" s="41">
        <f>COUNTIFS(RequirementsTable[Section], $B26, RequirementsTable[Compliance], C$16)</f>
        <v>14</v>
      </c>
      <c r="D26" s="41">
        <f>COUNTIFS(RequirementsTable[Section], $B26, RequirementsTable[Compliance], D$16)</f>
        <v>0</v>
      </c>
      <c r="E26" s="41">
        <f>COUNTIFS(RequirementsTable[Section], $B26, RequirementsTable[Compliance], E$16)</f>
        <v>0</v>
      </c>
      <c r="F26" s="41">
        <f>COUNTIFS(RequirementsTable[Section], $B26, RequirementsTable[Compliance], F$16)</f>
        <v>0</v>
      </c>
      <c r="G26" s="41">
        <f>COUNTIFS(RequirementsTable[Section], $B26)</f>
        <v>14</v>
      </c>
      <c r="H26" s="37">
        <f t="shared" si="0"/>
        <v>1</v>
      </c>
      <c r="I26" s="30"/>
    </row>
    <row r="27" spans="2:9" ht="16.8" x14ac:dyDescent="0.4">
      <c r="B27" s="29" t="s">
        <v>22</v>
      </c>
      <c r="C27" s="41">
        <f>COUNTIFS(RequirementsTable[Section], $B27, RequirementsTable[Compliance], C$16)</f>
        <v>34</v>
      </c>
      <c r="D27" s="41">
        <f>COUNTIFS(RequirementsTable[Section], $B27, RequirementsTable[Compliance], D$16)</f>
        <v>0</v>
      </c>
      <c r="E27" s="41">
        <f>COUNTIFS(RequirementsTable[Section], $B27, RequirementsTable[Compliance], E$16)</f>
        <v>0</v>
      </c>
      <c r="F27" s="41">
        <f>COUNTIFS(RequirementsTable[Section], $B27, RequirementsTable[Compliance], F$16)</f>
        <v>0</v>
      </c>
      <c r="G27" s="41">
        <f>COUNTIFS(RequirementsTable[Section], $B27)</f>
        <v>34</v>
      </c>
      <c r="H27" s="37">
        <f t="shared" si="0"/>
        <v>1</v>
      </c>
      <c r="I27" s="30"/>
    </row>
    <row r="28" spans="2:9" ht="16.8" x14ac:dyDescent="0.4">
      <c r="G28" s="30"/>
      <c r="H28" s="30"/>
      <c r="I28" s="30"/>
    </row>
    <row r="29" spans="2:9" ht="16.8" x14ac:dyDescent="0.4">
      <c r="G29" s="30"/>
      <c r="H29" s="30"/>
      <c r="I29" s="30"/>
    </row>
    <row r="30" spans="2:9" ht="16.8" x14ac:dyDescent="0.4">
      <c r="I30" s="30"/>
    </row>
    <row r="31" spans="2:9" ht="16.8" x14ac:dyDescent="0.4">
      <c r="I31" s="30"/>
    </row>
    <row r="32" spans="2:9" ht="16.8" x14ac:dyDescent="0.4">
      <c r="I32" s="30"/>
    </row>
    <row r="33" spans="7:9" ht="16.8" x14ac:dyDescent="0.4">
      <c r="I33" s="30"/>
    </row>
    <row r="34" spans="7:9" ht="16.8" x14ac:dyDescent="0.4">
      <c r="I34" s="30"/>
    </row>
    <row r="35" spans="7:9" ht="16.8" x14ac:dyDescent="0.4">
      <c r="G35" s="30"/>
      <c r="H35" s="30"/>
      <c r="I35" s="30"/>
    </row>
    <row r="36" spans="7:9" ht="16.8" x14ac:dyDescent="0.4">
      <c r="G36" s="30"/>
      <c r="H36" s="30"/>
      <c r="I36" s="30"/>
    </row>
    <row r="37" spans="7:9" ht="16.8" x14ac:dyDescent="0.4">
      <c r="G37" s="30"/>
      <c r="H37" s="30"/>
      <c r="I37" s="30"/>
    </row>
  </sheetData>
  <mergeCells count="1">
    <mergeCell ref="A3:H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6E14-C140-4329-9C23-D80AB3B65E6A}">
  <dimension ref="A1:Q30"/>
  <sheetViews>
    <sheetView tabSelected="1" topLeftCell="E1" zoomScale="50" workbookViewId="0">
      <selection activeCell="H14" sqref="H14"/>
    </sheetView>
  </sheetViews>
  <sheetFormatPr defaultRowHeight="14.4" x14ac:dyDescent="0.3"/>
  <cols>
    <col min="1" max="1" width="34" customWidth="1"/>
    <col min="2" max="2" width="31.5546875" customWidth="1"/>
    <col min="3" max="3" width="33.44140625" customWidth="1"/>
    <col min="4" max="4" width="34.6640625" customWidth="1"/>
    <col min="5" max="5" width="33.5546875" customWidth="1"/>
    <col min="6" max="6" width="34" customWidth="1"/>
    <col min="7" max="7" width="24.6640625" customWidth="1"/>
    <col min="8" max="8" width="37.6640625" customWidth="1"/>
    <col min="9" max="9" width="21.21875" customWidth="1"/>
    <col min="12" max="12" width="30.109375" customWidth="1"/>
    <col min="13" max="13" width="43.33203125" customWidth="1"/>
  </cols>
  <sheetData>
    <row r="1" spans="1:17" ht="34.799999999999997" x14ac:dyDescent="0.3">
      <c r="A1" s="3"/>
      <c r="B1" s="3"/>
      <c r="C1" s="3"/>
      <c r="D1" s="3"/>
      <c r="E1" s="4"/>
      <c r="F1" s="3"/>
      <c r="G1" s="3"/>
      <c r="H1" s="3"/>
      <c r="I1" s="4"/>
      <c r="J1" s="3"/>
      <c r="K1" s="3"/>
      <c r="L1" s="3"/>
      <c r="M1" s="3"/>
      <c r="N1" s="3"/>
      <c r="O1" s="3"/>
      <c r="P1" s="4"/>
    </row>
    <row r="2" spans="1:17" ht="34.799999999999997" x14ac:dyDescent="0.3">
      <c r="A2" s="6"/>
      <c r="B2" s="6"/>
      <c r="C2" s="7"/>
      <c r="D2" s="3"/>
      <c r="E2" s="4"/>
      <c r="F2" s="6"/>
      <c r="G2" s="6"/>
      <c r="H2" s="3"/>
      <c r="I2" s="4"/>
      <c r="J2" s="6"/>
      <c r="K2" s="6"/>
      <c r="L2" s="6"/>
      <c r="M2" s="6"/>
      <c r="N2" s="7"/>
      <c r="O2" s="3"/>
      <c r="P2" s="4"/>
    </row>
    <row r="3" spans="1:17" ht="16.8" x14ac:dyDescent="0.3">
      <c r="A3" s="42" t="s">
        <v>274</v>
      </c>
      <c r="B3" s="43" t="s">
        <v>276</v>
      </c>
      <c r="C3" s="42" t="s">
        <v>278</v>
      </c>
      <c r="D3" s="44" t="s">
        <v>280</v>
      </c>
      <c r="E3" s="42" t="s">
        <v>282</v>
      </c>
      <c r="F3" s="42" t="s">
        <v>284</v>
      </c>
      <c r="G3" s="42" t="s">
        <v>286</v>
      </c>
      <c r="H3" s="42" t="s">
        <v>288</v>
      </c>
      <c r="I3" s="42" t="s">
        <v>290</v>
      </c>
    </row>
    <row r="4" spans="1:17" ht="89.4" customHeight="1" thickBot="1" x14ac:dyDescent="0.35">
      <c r="A4" s="45"/>
      <c r="B4" s="46"/>
      <c r="C4" s="47"/>
      <c r="D4" s="48"/>
      <c r="E4" s="49"/>
      <c r="F4" s="50"/>
      <c r="G4" s="49"/>
      <c r="H4" s="49"/>
      <c r="I4" s="50"/>
    </row>
    <row r="5" spans="1:17" ht="69.599999999999994" customHeight="1" x14ac:dyDescent="0.3">
      <c r="A5" s="45"/>
      <c r="B5" s="46"/>
      <c r="C5" s="47"/>
      <c r="D5" s="48"/>
      <c r="E5" s="49"/>
      <c r="F5" s="50"/>
      <c r="G5" s="49"/>
      <c r="H5" s="49"/>
      <c r="I5" s="50"/>
      <c r="L5" s="51" t="s">
        <v>272</v>
      </c>
      <c r="M5" s="52" t="s">
        <v>273</v>
      </c>
      <c r="N5" s="53"/>
      <c r="O5" s="53"/>
      <c r="P5" s="53"/>
      <c r="Q5" s="54"/>
    </row>
    <row r="6" spans="1:17" ht="16.8" x14ac:dyDescent="0.3">
      <c r="A6" s="45"/>
      <c r="B6" s="46"/>
      <c r="C6" s="47"/>
      <c r="D6" s="48"/>
      <c r="E6" s="49"/>
      <c r="F6" s="50"/>
      <c r="G6" s="49"/>
      <c r="H6" s="49"/>
      <c r="I6" s="50"/>
      <c r="L6" s="55" t="s">
        <v>274</v>
      </c>
      <c r="M6" s="56" t="s">
        <v>275</v>
      </c>
      <c r="N6" s="57"/>
      <c r="O6" s="57"/>
      <c r="P6" s="57"/>
      <c r="Q6" s="58"/>
    </row>
    <row r="7" spans="1:17" ht="16.8" x14ac:dyDescent="0.3">
      <c r="A7" s="45"/>
      <c r="B7" s="46"/>
      <c r="C7" s="47"/>
      <c r="D7" s="48"/>
      <c r="E7" s="49"/>
      <c r="F7" s="50"/>
      <c r="G7" s="49"/>
      <c r="H7" s="49"/>
      <c r="I7" s="50"/>
      <c r="L7" s="59" t="s">
        <v>292</v>
      </c>
      <c r="M7" s="56"/>
      <c r="N7" s="57"/>
      <c r="O7" s="57"/>
      <c r="P7" s="57"/>
      <c r="Q7" s="58"/>
    </row>
    <row r="8" spans="1:17" ht="16.8" x14ac:dyDescent="0.3">
      <c r="A8" s="45"/>
      <c r="B8" s="46"/>
      <c r="C8" s="47"/>
      <c r="D8" s="48"/>
      <c r="E8" s="49"/>
      <c r="F8" s="50"/>
      <c r="G8" s="49"/>
      <c r="H8" s="49"/>
      <c r="I8" s="50"/>
      <c r="L8" s="55" t="s">
        <v>293</v>
      </c>
      <c r="M8" s="56"/>
      <c r="N8" s="57"/>
      <c r="O8" s="57"/>
      <c r="P8" s="57"/>
      <c r="Q8" s="58"/>
    </row>
    <row r="9" spans="1:17" ht="16.8" x14ac:dyDescent="0.3">
      <c r="A9" s="45"/>
      <c r="B9" s="46"/>
      <c r="C9" s="47"/>
      <c r="D9" s="48"/>
      <c r="E9" s="49"/>
      <c r="F9" s="50"/>
      <c r="G9" s="49"/>
      <c r="H9" s="49"/>
      <c r="I9" s="50"/>
      <c r="L9" s="55" t="s">
        <v>294</v>
      </c>
      <c r="M9" s="56"/>
      <c r="N9" s="57"/>
      <c r="O9" s="57"/>
      <c r="P9" s="57"/>
      <c r="Q9" s="58"/>
    </row>
    <row r="10" spans="1:17" ht="16.8" x14ac:dyDescent="0.3">
      <c r="A10" s="45"/>
      <c r="B10" s="46"/>
      <c r="C10" s="47"/>
      <c r="D10" s="48"/>
      <c r="E10" s="49"/>
      <c r="F10" s="50"/>
      <c r="G10" s="49"/>
      <c r="H10" s="49"/>
      <c r="I10" s="50"/>
      <c r="L10" s="55" t="s">
        <v>295</v>
      </c>
      <c r="M10" s="56"/>
      <c r="N10" s="57"/>
      <c r="O10" s="57"/>
      <c r="P10" s="57"/>
      <c r="Q10" s="58"/>
    </row>
    <row r="11" spans="1:17" ht="16.8" x14ac:dyDescent="0.3">
      <c r="A11" s="45"/>
      <c r="B11" s="46"/>
      <c r="C11" s="47"/>
      <c r="D11" s="48"/>
      <c r="E11" s="49"/>
      <c r="F11" s="50"/>
      <c r="G11" s="49"/>
      <c r="H11" s="49"/>
      <c r="I11" s="50"/>
      <c r="L11" s="55" t="s">
        <v>296</v>
      </c>
      <c r="M11" s="56"/>
      <c r="N11" s="57"/>
      <c r="O11" s="57"/>
      <c r="P11" s="57"/>
      <c r="Q11" s="58"/>
    </row>
    <row r="12" spans="1:17" ht="16.8" x14ac:dyDescent="0.3">
      <c r="A12" s="45"/>
      <c r="B12" s="46"/>
      <c r="C12" s="47"/>
      <c r="D12" s="48"/>
      <c r="E12" s="49"/>
      <c r="F12" s="50"/>
      <c r="G12" s="49"/>
      <c r="H12" s="49"/>
      <c r="I12" s="50"/>
      <c r="L12" s="55" t="s">
        <v>276</v>
      </c>
      <c r="M12" s="56" t="s">
        <v>277</v>
      </c>
      <c r="N12" s="57"/>
      <c r="O12" s="57"/>
      <c r="P12" s="57"/>
      <c r="Q12" s="58"/>
    </row>
    <row r="13" spans="1:17" ht="16.8" x14ac:dyDescent="0.3">
      <c r="A13" s="45"/>
      <c r="B13" s="46"/>
      <c r="C13" s="47"/>
      <c r="D13" s="48"/>
      <c r="E13" s="49"/>
      <c r="F13" s="50"/>
      <c r="G13" s="49"/>
      <c r="H13" s="49"/>
      <c r="I13" s="50"/>
      <c r="L13" s="55" t="s">
        <v>278</v>
      </c>
      <c r="M13" s="56" t="s">
        <v>279</v>
      </c>
      <c r="N13" s="57"/>
      <c r="O13" s="57"/>
      <c r="P13" s="57"/>
      <c r="Q13" s="58"/>
    </row>
    <row r="14" spans="1:17" ht="16.8" x14ac:dyDescent="0.3">
      <c r="A14" s="45"/>
      <c r="B14" s="46"/>
      <c r="C14" s="47"/>
      <c r="D14" s="48"/>
      <c r="E14" s="49"/>
      <c r="F14" s="50"/>
      <c r="G14" s="49"/>
      <c r="H14" s="49"/>
      <c r="I14" s="50"/>
      <c r="L14" s="55" t="s">
        <v>280</v>
      </c>
      <c r="M14" s="56" t="s">
        <v>281</v>
      </c>
      <c r="N14" s="57"/>
      <c r="O14" s="57"/>
      <c r="P14" s="57"/>
      <c r="Q14" s="58"/>
    </row>
    <row r="15" spans="1:17" ht="16.8" x14ac:dyDescent="0.3">
      <c r="A15" s="45"/>
      <c r="B15" s="46"/>
      <c r="C15" s="47"/>
      <c r="D15" s="48"/>
      <c r="E15" s="49"/>
      <c r="F15" s="50"/>
      <c r="G15" s="49"/>
      <c r="H15" s="49"/>
      <c r="I15" s="50"/>
      <c r="L15" s="55" t="s">
        <v>282</v>
      </c>
      <c r="M15" s="56" t="s">
        <v>283</v>
      </c>
      <c r="N15" s="57"/>
      <c r="O15" s="57"/>
      <c r="P15" s="57"/>
      <c r="Q15" s="58"/>
    </row>
    <row r="16" spans="1:17" ht="28.8" x14ac:dyDescent="0.3">
      <c r="A16" s="45"/>
      <c r="B16" s="46"/>
      <c r="C16" s="47"/>
      <c r="D16" s="48"/>
      <c r="E16" s="49"/>
      <c r="F16" s="50"/>
      <c r="G16" s="49"/>
      <c r="H16" s="49"/>
      <c r="I16" s="50"/>
      <c r="L16" s="55" t="s">
        <v>284</v>
      </c>
      <c r="M16" s="56" t="s">
        <v>285</v>
      </c>
      <c r="N16" s="57"/>
      <c r="O16" s="57"/>
      <c r="P16" s="57"/>
      <c r="Q16" s="58"/>
    </row>
    <row r="17" spans="1:17" ht="16.8" x14ac:dyDescent="0.3">
      <c r="A17" s="45"/>
      <c r="B17" s="46"/>
      <c r="C17" s="47"/>
      <c r="D17" s="48"/>
      <c r="E17" s="49"/>
      <c r="F17" s="50"/>
      <c r="G17" s="49"/>
      <c r="H17" s="49"/>
      <c r="I17" s="50"/>
      <c r="L17" s="60" t="s">
        <v>297</v>
      </c>
      <c r="M17" s="56"/>
      <c r="N17" s="57"/>
      <c r="O17" s="57"/>
      <c r="P17" s="57"/>
      <c r="Q17" s="58"/>
    </row>
    <row r="18" spans="1:17" ht="16.8" x14ac:dyDescent="0.3">
      <c r="A18" s="45"/>
      <c r="B18" s="46"/>
      <c r="C18" s="47"/>
      <c r="D18" s="48"/>
      <c r="E18" s="49"/>
      <c r="F18" s="50"/>
      <c r="G18" s="49"/>
      <c r="H18" s="49"/>
      <c r="I18" s="50"/>
      <c r="L18" s="60" t="s">
        <v>298</v>
      </c>
      <c r="M18" s="56"/>
      <c r="N18" s="57"/>
      <c r="O18" s="57"/>
      <c r="P18" s="57"/>
      <c r="Q18" s="58"/>
    </row>
    <row r="19" spans="1:17" ht="16.8" x14ac:dyDescent="0.3">
      <c r="A19" s="45"/>
      <c r="B19" s="46"/>
      <c r="C19" s="47"/>
      <c r="D19" s="48"/>
      <c r="E19" s="49"/>
      <c r="F19" s="50"/>
      <c r="G19" s="49"/>
      <c r="H19" s="49"/>
      <c r="I19" s="50"/>
      <c r="L19" s="60" t="s">
        <v>299</v>
      </c>
      <c r="M19" s="56"/>
      <c r="N19" s="57"/>
      <c r="O19" s="57"/>
      <c r="P19" s="57"/>
      <c r="Q19" s="58"/>
    </row>
    <row r="20" spans="1:17" ht="16.8" x14ac:dyDescent="0.3">
      <c r="A20" s="45"/>
      <c r="B20" s="46"/>
      <c r="C20" s="47"/>
      <c r="D20" s="48"/>
      <c r="E20" s="49"/>
      <c r="F20" s="50"/>
      <c r="G20" s="49"/>
      <c r="H20" s="49"/>
      <c r="I20" s="50"/>
      <c r="L20" s="60" t="s">
        <v>300</v>
      </c>
      <c r="M20" s="56"/>
      <c r="N20" s="57"/>
      <c r="O20" s="57"/>
      <c r="P20" s="57"/>
      <c r="Q20" s="58"/>
    </row>
    <row r="21" spans="1:17" ht="16.8" x14ac:dyDescent="0.3">
      <c r="A21" s="45"/>
      <c r="B21" s="46"/>
      <c r="C21" s="47"/>
      <c r="D21" s="48"/>
      <c r="E21" s="49"/>
      <c r="F21" s="50"/>
      <c r="G21" s="49"/>
      <c r="H21" s="49"/>
      <c r="I21" s="50"/>
      <c r="L21" s="60" t="s">
        <v>301</v>
      </c>
      <c r="M21" s="56"/>
      <c r="N21" s="57"/>
      <c r="O21" s="57"/>
      <c r="P21" s="57"/>
      <c r="Q21" s="58"/>
    </row>
    <row r="22" spans="1:17" ht="16.8" x14ac:dyDescent="0.3">
      <c r="A22" s="45"/>
      <c r="B22" s="46"/>
      <c r="C22" s="47"/>
      <c r="D22" s="48"/>
      <c r="E22" s="49"/>
      <c r="F22" s="50"/>
      <c r="G22" s="49"/>
      <c r="H22" s="49"/>
      <c r="I22" s="50"/>
      <c r="L22" s="55" t="s">
        <v>286</v>
      </c>
      <c r="M22" s="56" t="s">
        <v>287</v>
      </c>
      <c r="N22" s="57"/>
      <c r="O22" s="57"/>
      <c r="P22" s="57"/>
      <c r="Q22" s="58"/>
    </row>
    <row r="23" spans="1:17" ht="16.8" x14ac:dyDescent="0.3">
      <c r="A23" s="45"/>
      <c r="B23" s="46"/>
      <c r="C23" s="47"/>
      <c r="D23" s="48"/>
      <c r="E23" s="49"/>
      <c r="F23" s="50"/>
      <c r="G23" s="49"/>
      <c r="H23" s="49"/>
      <c r="I23" s="50"/>
      <c r="L23" s="55" t="s">
        <v>288</v>
      </c>
      <c r="M23" s="56" t="s">
        <v>289</v>
      </c>
      <c r="N23" s="57"/>
      <c r="O23" s="57"/>
      <c r="P23" s="57"/>
      <c r="Q23" s="58"/>
    </row>
    <row r="24" spans="1:17" ht="17.399999999999999" thickBot="1" x14ac:dyDescent="0.35">
      <c r="A24" s="45"/>
      <c r="B24" s="46"/>
      <c r="C24" s="47"/>
      <c r="D24" s="48"/>
      <c r="E24" s="49"/>
      <c r="F24" s="50"/>
      <c r="G24" s="49"/>
      <c r="H24" s="49"/>
      <c r="I24" s="50"/>
      <c r="L24" s="61" t="s">
        <v>290</v>
      </c>
      <c r="M24" s="62" t="s">
        <v>291</v>
      </c>
      <c r="N24" s="63"/>
      <c r="O24" s="63"/>
      <c r="P24" s="63"/>
      <c r="Q24" s="64"/>
    </row>
    <row r="25" spans="1:17" ht="16.8" x14ac:dyDescent="0.3">
      <c r="A25" s="45"/>
      <c r="B25" s="46"/>
      <c r="C25" s="47"/>
      <c r="D25" s="48"/>
      <c r="E25" s="49"/>
      <c r="F25" s="50"/>
      <c r="G25" s="49"/>
      <c r="H25" s="49"/>
      <c r="I25" s="50"/>
    </row>
    <row r="26" spans="1:17" ht="16.8" x14ac:dyDescent="0.3">
      <c r="A26" s="45"/>
      <c r="B26" s="46"/>
      <c r="C26" s="47"/>
      <c r="D26" s="48"/>
      <c r="E26" s="49"/>
      <c r="F26" s="50"/>
      <c r="G26" s="49"/>
      <c r="H26" s="49"/>
      <c r="I26" s="50"/>
    </row>
    <row r="27" spans="1:17" ht="16.8" x14ac:dyDescent="0.3">
      <c r="A27" s="45"/>
      <c r="B27" s="46"/>
      <c r="C27" s="47"/>
      <c r="D27" s="48"/>
      <c r="E27" s="49"/>
      <c r="F27" s="50"/>
      <c r="G27" s="49"/>
      <c r="H27" s="49"/>
      <c r="I27" s="50"/>
    </row>
    <row r="28" spans="1:17" ht="16.8" x14ac:dyDescent="0.3">
      <c r="A28" s="45"/>
      <c r="B28" s="46"/>
      <c r="C28" s="47"/>
      <c r="D28" s="48"/>
      <c r="E28" s="49"/>
      <c r="F28" s="50"/>
      <c r="G28" s="49"/>
      <c r="H28" s="49"/>
      <c r="I28" s="50"/>
    </row>
    <row r="29" spans="1:17" ht="16.8" x14ac:dyDescent="0.3">
      <c r="A29" s="45"/>
      <c r="B29" s="46"/>
      <c r="C29" s="47"/>
      <c r="D29" s="48"/>
      <c r="E29" s="49"/>
      <c r="F29" s="50"/>
      <c r="G29" s="49"/>
      <c r="H29" s="49"/>
      <c r="I29" s="50"/>
    </row>
    <row r="30" spans="1:17" ht="16.8" x14ac:dyDescent="0.3">
      <c r="A30" s="45"/>
      <c r="B30" s="46"/>
      <c r="C30" s="47"/>
      <c r="D30" s="48"/>
      <c r="E30" s="49"/>
      <c r="F30" s="50"/>
      <c r="G30" s="49"/>
      <c r="H30" s="49"/>
      <c r="I30" s="50"/>
    </row>
  </sheetData>
  <dataValidations count="1">
    <dataValidation type="list" allowBlank="1" showInputMessage="1" showErrorMessage="1" sqref="E4:E30 G4:H30" xr:uid="{3F1DDDC8-35CD-43C0-B585-5BCCBAC54BCC}">
      <formula1>InScopeOptions</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C3C1-2283-FB41-B99B-5582A44B750F}">
  <dimension ref="A1:I665"/>
  <sheetViews>
    <sheetView showGridLines="0" zoomScale="97" zoomScaleNormal="55" workbookViewId="0">
      <pane ySplit="3" topLeftCell="A4" activePane="bottomLeft" state="frozen"/>
      <selection activeCell="B1" sqref="B1"/>
      <selection pane="bottomLeft" activeCell="A3" sqref="A3:F4"/>
    </sheetView>
  </sheetViews>
  <sheetFormatPr defaultColWidth="0" defaultRowHeight="93.75" customHeight="1" zeroHeight="1" x14ac:dyDescent="0.4"/>
  <cols>
    <col min="1" max="2" width="21.6640625" style="15" customWidth="1"/>
    <col min="3" max="3" width="16.44140625" style="16" customWidth="1"/>
    <col min="4" max="4" width="98.44140625" style="17" customWidth="1"/>
    <col min="5" max="5" width="18.44140625" style="13" customWidth="1"/>
    <col min="6" max="6" width="42.44140625" style="13" customWidth="1"/>
    <col min="7" max="7" width="9.109375" style="14" customWidth="1"/>
    <col min="8" max="9" width="0" style="14" hidden="1" customWidth="1"/>
    <col min="10" max="16384" width="9.109375" style="14" hidden="1"/>
  </cols>
  <sheetData>
    <row r="1" spans="1:7" s="5" customFormat="1" ht="64.5" customHeight="1" x14ac:dyDescent="0.3">
      <c r="A1" s="3"/>
      <c r="B1" s="3"/>
      <c r="C1" s="3"/>
      <c r="D1" s="3"/>
      <c r="E1" s="4"/>
      <c r="F1" s="4"/>
    </row>
    <row r="2" spans="1:7" s="5" customFormat="1" ht="24" customHeight="1" x14ac:dyDescent="0.3">
      <c r="A2" s="6"/>
      <c r="B2" s="6"/>
      <c r="C2" s="7"/>
      <c r="D2" s="3"/>
      <c r="E2" s="4"/>
      <c r="F2" s="4"/>
      <c r="G2" s="8"/>
    </row>
    <row r="3" spans="1:7" s="13" customFormat="1" ht="30" customHeight="1" x14ac:dyDescent="0.3">
      <c r="A3" s="9" t="s">
        <v>9</v>
      </c>
      <c r="B3" s="9" t="s">
        <v>7</v>
      </c>
      <c r="C3" s="10" t="s">
        <v>146</v>
      </c>
      <c r="D3" s="11" t="s">
        <v>145</v>
      </c>
      <c r="E3" s="10" t="s">
        <v>1</v>
      </c>
      <c r="F3" s="12" t="s">
        <v>0</v>
      </c>
    </row>
    <row r="4" spans="1:7" ht="93.75" customHeight="1" x14ac:dyDescent="0.4">
      <c r="A4" s="20" t="s">
        <v>10</v>
      </c>
      <c r="B4" s="20" t="s">
        <v>12</v>
      </c>
      <c r="C4" s="19" t="s">
        <v>23</v>
      </c>
      <c r="D4" s="18" t="s">
        <v>150</v>
      </c>
      <c r="E4" s="21" t="s">
        <v>2</v>
      </c>
      <c r="F4" s="22"/>
    </row>
    <row r="5" spans="1:7" ht="93.75" customHeight="1" x14ac:dyDescent="0.4">
      <c r="A5" s="20" t="s">
        <v>10</v>
      </c>
      <c r="B5" s="20" t="s">
        <v>12</v>
      </c>
      <c r="C5" s="19" t="s">
        <v>24</v>
      </c>
      <c r="D5" s="18" t="s">
        <v>151</v>
      </c>
      <c r="E5" s="21" t="s">
        <v>2</v>
      </c>
      <c r="F5" s="22"/>
    </row>
    <row r="6" spans="1:7" ht="93.75" customHeight="1" x14ac:dyDescent="0.4">
      <c r="A6" s="20" t="s">
        <v>10</v>
      </c>
      <c r="B6" s="20" t="s">
        <v>12</v>
      </c>
      <c r="C6" s="19" t="s">
        <v>25</v>
      </c>
      <c r="D6" s="18" t="s">
        <v>152</v>
      </c>
      <c r="E6" s="21" t="s">
        <v>4</v>
      </c>
      <c r="F6" s="22"/>
    </row>
    <row r="7" spans="1:7" ht="93.75" customHeight="1" x14ac:dyDescent="0.4">
      <c r="A7" s="20" t="s">
        <v>10</v>
      </c>
      <c r="B7" s="20" t="s">
        <v>12</v>
      </c>
      <c r="C7" s="19" t="s">
        <v>26</v>
      </c>
      <c r="D7" s="18" t="s">
        <v>153</v>
      </c>
      <c r="E7" s="21" t="s">
        <v>4</v>
      </c>
      <c r="F7" s="22"/>
    </row>
    <row r="8" spans="1:7" ht="93.75" customHeight="1" x14ac:dyDescent="0.4">
      <c r="A8" s="20" t="s">
        <v>10</v>
      </c>
      <c r="B8" s="20" t="s">
        <v>13</v>
      </c>
      <c r="C8" s="19" t="s">
        <v>27</v>
      </c>
      <c r="D8" s="18" t="s">
        <v>154</v>
      </c>
      <c r="E8" s="21" t="s">
        <v>4</v>
      </c>
      <c r="F8" s="22"/>
    </row>
    <row r="9" spans="1:7" ht="93.75" customHeight="1" x14ac:dyDescent="0.4">
      <c r="A9" s="20" t="s">
        <v>10</v>
      </c>
      <c r="B9" s="20" t="s">
        <v>13</v>
      </c>
      <c r="C9" s="19" t="s">
        <v>28</v>
      </c>
      <c r="D9" s="18" t="s">
        <v>155</v>
      </c>
      <c r="E9" s="21" t="s">
        <v>4</v>
      </c>
      <c r="F9" s="22"/>
    </row>
    <row r="10" spans="1:7" ht="93.75" customHeight="1" x14ac:dyDescent="0.4">
      <c r="A10" s="20" t="s">
        <v>10</v>
      </c>
      <c r="B10" s="20" t="s">
        <v>13</v>
      </c>
      <c r="C10" s="19" t="s">
        <v>29</v>
      </c>
      <c r="D10" s="18" t="s">
        <v>156</v>
      </c>
      <c r="E10" s="21" t="s">
        <v>4</v>
      </c>
      <c r="F10" s="22"/>
    </row>
    <row r="11" spans="1:7" ht="114" customHeight="1" x14ac:dyDescent="0.4">
      <c r="A11" s="20" t="s">
        <v>10</v>
      </c>
      <c r="B11" s="20" t="s">
        <v>14</v>
      </c>
      <c r="C11" s="19" t="s">
        <v>30</v>
      </c>
      <c r="D11" s="18" t="s">
        <v>157</v>
      </c>
      <c r="E11" s="21" t="s">
        <v>4</v>
      </c>
      <c r="F11" s="22"/>
    </row>
    <row r="12" spans="1:7" ht="93.75" customHeight="1" x14ac:dyDescent="0.4">
      <c r="A12" s="20" t="s">
        <v>10</v>
      </c>
      <c r="B12" s="20" t="s">
        <v>14</v>
      </c>
      <c r="C12" s="19" t="s">
        <v>31</v>
      </c>
      <c r="D12" s="18" t="s">
        <v>158</v>
      </c>
      <c r="E12" s="21" t="s">
        <v>3</v>
      </c>
      <c r="F12" s="22"/>
    </row>
    <row r="13" spans="1:7" ht="93.75" customHeight="1" x14ac:dyDescent="0.4">
      <c r="A13" s="20" t="s">
        <v>10</v>
      </c>
      <c r="B13" s="20" t="s">
        <v>14</v>
      </c>
      <c r="C13" s="19" t="s">
        <v>32</v>
      </c>
      <c r="D13" s="18" t="s">
        <v>159</v>
      </c>
      <c r="E13" s="21" t="s">
        <v>2</v>
      </c>
      <c r="F13" s="22"/>
    </row>
    <row r="14" spans="1:7" ht="93.75" customHeight="1" x14ac:dyDescent="0.4">
      <c r="A14" s="20" t="s">
        <v>10</v>
      </c>
      <c r="B14" s="20" t="s">
        <v>14</v>
      </c>
      <c r="C14" s="19" t="s">
        <v>33</v>
      </c>
      <c r="D14" s="18" t="s">
        <v>160</v>
      </c>
      <c r="E14" s="21" t="s">
        <v>2</v>
      </c>
      <c r="F14" s="22"/>
    </row>
    <row r="15" spans="1:7" ht="93.75" customHeight="1" x14ac:dyDescent="0.4">
      <c r="A15" s="20" t="s">
        <v>10</v>
      </c>
      <c r="B15" s="20" t="s">
        <v>15</v>
      </c>
      <c r="C15" s="19" t="s">
        <v>34</v>
      </c>
      <c r="D15" s="18" t="s">
        <v>161</v>
      </c>
      <c r="E15" s="21" t="s">
        <v>4</v>
      </c>
      <c r="F15" s="22"/>
    </row>
    <row r="16" spans="1:7" ht="93.75" customHeight="1" x14ac:dyDescent="0.4">
      <c r="A16" s="20" t="s">
        <v>10</v>
      </c>
      <c r="B16" s="20" t="s">
        <v>15</v>
      </c>
      <c r="C16" s="19" t="s">
        <v>35</v>
      </c>
      <c r="D16" s="18" t="s">
        <v>162</v>
      </c>
      <c r="E16" s="21" t="s">
        <v>4</v>
      </c>
      <c r="F16" s="22"/>
    </row>
    <row r="17" spans="1:6" ht="93.75" customHeight="1" x14ac:dyDescent="0.4">
      <c r="A17" s="20" t="s">
        <v>10</v>
      </c>
      <c r="B17" s="20" t="s">
        <v>15</v>
      </c>
      <c r="C17" s="19" t="s">
        <v>36</v>
      </c>
      <c r="D17" s="18" t="s">
        <v>163</v>
      </c>
      <c r="E17" s="21" t="s">
        <v>4</v>
      </c>
      <c r="F17" s="22"/>
    </row>
    <row r="18" spans="1:6" ht="93.75" customHeight="1" x14ac:dyDescent="0.4">
      <c r="A18" s="20" t="s">
        <v>10</v>
      </c>
      <c r="B18" s="20" t="s">
        <v>15</v>
      </c>
      <c r="C18" s="19" t="s">
        <v>37</v>
      </c>
      <c r="D18" s="18" t="s">
        <v>164</v>
      </c>
      <c r="E18" s="21" t="s">
        <v>4</v>
      </c>
      <c r="F18" s="23"/>
    </row>
    <row r="19" spans="1:6" ht="93.75" customHeight="1" x14ac:dyDescent="0.4">
      <c r="A19" s="20" t="s">
        <v>10</v>
      </c>
      <c r="B19" s="20" t="s">
        <v>15</v>
      </c>
      <c r="C19" s="19" t="s">
        <v>38</v>
      </c>
      <c r="D19" s="18" t="s">
        <v>165</v>
      </c>
      <c r="E19" s="21" t="s">
        <v>4</v>
      </c>
      <c r="F19" s="22"/>
    </row>
    <row r="20" spans="1:6" ht="131.25" customHeight="1" x14ac:dyDescent="0.4">
      <c r="A20" s="20" t="s">
        <v>10</v>
      </c>
      <c r="B20" s="20" t="s">
        <v>15</v>
      </c>
      <c r="C20" s="19" t="s">
        <v>39</v>
      </c>
      <c r="D20" s="18" t="s">
        <v>166</v>
      </c>
      <c r="E20" s="21" t="s">
        <v>4</v>
      </c>
      <c r="F20" s="22"/>
    </row>
    <row r="21" spans="1:6" ht="93.75" customHeight="1" x14ac:dyDescent="0.4">
      <c r="A21" s="20" t="s">
        <v>10</v>
      </c>
      <c r="B21" s="20" t="s">
        <v>15</v>
      </c>
      <c r="C21" s="19" t="s">
        <v>40</v>
      </c>
      <c r="D21" s="18" t="s">
        <v>167</v>
      </c>
      <c r="E21" s="21" t="s">
        <v>4</v>
      </c>
      <c r="F21" s="22"/>
    </row>
    <row r="22" spans="1:6" ht="160.5" customHeight="1" x14ac:dyDescent="0.4">
      <c r="A22" s="20" t="s">
        <v>10</v>
      </c>
      <c r="B22" s="20" t="s">
        <v>16</v>
      </c>
      <c r="C22" s="19" t="s">
        <v>41</v>
      </c>
      <c r="D22" s="18" t="s">
        <v>168</v>
      </c>
      <c r="E22" s="21" t="s">
        <v>4</v>
      </c>
      <c r="F22" s="22"/>
    </row>
    <row r="23" spans="1:6" ht="93.75" customHeight="1" x14ac:dyDescent="0.4">
      <c r="A23" s="20" t="s">
        <v>10</v>
      </c>
      <c r="B23" s="20" t="s">
        <v>16</v>
      </c>
      <c r="C23" s="19" t="s">
        <v>42</v>
      </c>
      <c r="D23" s="18" t="s">
        <v>169</v>
      </c>
      <c r="E23" s="21" t="s">
        <v>4</v>
      </c>
      <c r="F23" s="22"/>
    </row>
    <row r="24" spans="1:6" ht="146.25" customHeight="1" x14ac:dyDescent="0.4">
      <c r="A24" s="20" t="s">
        <v>10</v>
      </c>
      <c r="B24" s="20" t="s">
        <v>16</v>
      </c>
      <c r="C24" s="19" t="s">
        <v>43</v>
      </c>
      <c r="D24" s="18" t="s">
        <v>170</v>
      </c>
      <c r="E24" s="21" t="s">
        <v>4</v>
      </c>
      <c r="F24" s="22"/>
    </row>
    <row r="25" spans="1:6" ht="141" customHeight="1" x14ac:dyDescent="0.4">
      <c r="A25" s="20" t="s">
        <v>10</v>
      </c>
      <c r="B25" s="20" t="s">
        <v>17</v>
      </c>
      <c r="C25" s="19" t="s">
        <v>44</v>
      </c>
      <c r="D25" s="18" t="s">
        <v>171</v>
      </c>
      <c r="E25" s="21" t="s">
        <v>4</v>
      </c>
      <c r="F25" s="23"/>
    </row>
    <row r="26" spans="1:6" ht="93.75" customHeight="1" x14ac:dyDescent="0.4">
      <c r="A26" s="20" t="s">
        <v>10</v>
      </c>
      <c r="B26" s="20" t="s">
        <v>17</v>
      </c>
      <c r="C26" s="19" t="s">
        <v>45</v>
      </c>
      <c r="D26" s="18" t="s">
        <v>172</v>
      </c>
      <c r="E26" s="21" t="s">
        <v>4</v>
      </c>
      <c r="F26" s="22"/>
    </row>
    <row r="27" spans="1:6" ht="93.75" customHeight="1" x14ac:dyDescent="0.4">
      <c r="A27" s="20" t="s">
        <v>10</v>
      </c>
      <c r="B27" s="20" t="s">
        <v>17</v>
      </c>
      <c r="C27" s="19" t="s">
        <v>46</v>
      </c>
      <c r="D27" s="18" t="s">
        <v>173</v>
      </c>
      <c r="E27" s="21" t="s">
        <v>4</v>
      </c>
      <c r="F27" s="22"/>
    </row>
    <row r="28" spans="1:6" ht="132" customHeight="1" x14ac:dyDescent="0.4">
      <c r="A28" s="20" t="s">
        <v>10</v>
      </c>
      <c r="B28" s="20" t="s">
        <v>17</v>
      </c>
      <c r="C28" s="19" t="s">
        <v>47</v>
      </c>
      <c r="D28" s="18" t="s">
        <v>174</v>
      </c>
      <c r="E28" s="21" t="s">
        <v>4</v>
      </c>
      <c r="F28" s="22"/>
    </row>
    <row r="29" spans="1:6" ht="93.75" customHeight="1" x14ac:dyDescent="0.4">
      <c r="A29" s="20" t="s">
        <v>10</v>
      </c>
      <c r="B29" s="20" t="s">
        <v>17</v>
      </c>
      <c r="C29" s="19" t="s">
        <v>48</v>
      </c>
      <c r="D29" s="18" t="s">
        <v>175</v>
      </c>
      <c r="E29" s="21" t="s">
        <v>4</v>
      </c>
      <c r="F29" s="22"/>
    </row>
    <row r="30" spans="1:6" ht="93.75" customHeight="1" x14ac:dyDescent="0.4">
      <c r="A30" s="20" t="s">
        <v>10</v>
      </c>
      <c r="B30" s="20" t="s">
        <v>17</v>
      </c>
      <c r="C30" s="19" t="s">
        <v>49</v>
      </c>
      <c r="D30" s="18" t="s">
        <v>176</v>
      </c>
      <c r="E30" s="21" t="s">
        <v>4</v>
      </c>
      <c r="F30" s="22"/>
    </row>
    <row r="31" spans="1:6" ht="93.75" customHeight="1" x14ac:dyDescent="0.4">
      <c r="A31" s="20" t="s">
        <v>10</v>
      </c>
      <c r="B31" s="20" t="s">
        <v>18</v>
      </c>
      <c r="C31" s="19" t="s">
        <v>50</v>
      </c>
      <c r="D31" s="18" t="s">
        <v>177</v>
      </c>
      <c r="E31" s="21" t="s">
        <v>4</v>
      </c>
      <c r="F31" s="22"/>
    </row>
    <row r="32" spans="1:6" ht="93.75" customHeight="1" x14ac:dyDescent="0.4">
      <c r="A32" s="20" t="s">
        <v>10</v>
      </c>
      <c r="B32" s="20" t="s">
        <v>18</v>
      </c>
      <c r="C32" s="19" t="s">
        <v>51</v>
      </c>
      <c r="D32" s="18" t="s">
        <v>178</v>
      </c>
      <c r="E32" s="21" t="s">
        <v>4</v>
      </c>
      <c r="F32" s="22"/>
    </row>
    <row r="33" spans="1:6" ht="93.75" customHeight="1" x14ac:dyDescent="0.4">
      <c r="A33" s="20" t="s">
        <v>11</v>
      </c>
      <c r="B33" s="20" t="s">
        <v>19</v>
      </c>
      <c r="C33" s="19" t="s">
        <v>52</v>
      </c>
      <c r="D33" s="18" t="s">
        <v>179</v>
      </c>
      <c r="E33" s="21" t="s">
        <v>4</v>
      </c>
      <c r="F33" s="22"/>
    </row>
    <row r="34" spans="1:6" ht="93.75" customHeight="1" x14ac:dyDescent="0.4">
      <c r="A34" s="20" t="s">
        <v>11</v>
      </c>
      <c r="B34" s="20" t="s">
        <v>19</v>
      </c>
      <c r="C34" s="19" t="s">
        <v>53</v>
      </c>
      <c r="D34" s="18" t="s">
        <v>180</v>
      </c>
      <c r="E34" s="21" t="s">
        <v>4</v>
      </c>
      <c r="F34" s="22"/>
    </row>
    <row r="35" spans="1:6" ht="93.75" customHeight="1" x14ac:dyDescent="0.4">
      <c r="A35" s="20" t="s">
        <v>11</v>
      </c>
      <c r="B35" s="20" t="s">
        <v>19</v>
      </c>
      <c r="C35" s="19" t="s">
        <v>54</v>
      </c>
      <c r="D35" s="18" t="s">
        <v>181</v>
      </c>
      <c r="E35" s="21" t="s">
        <v>4</v>
      </c>
      <c r="F35" s="22"/>
    </row>
    <row r="36" spans="1:6" ht="129" customHeight="1" x14ac:dyDescent="0.4">
      <c r="A36" s="20" t="s">
        <v>11</v>
      </c>
      <c r="B36" s="20" t="s">
        <v>19</v>
      </c>
      <c r="C36" s="19" t="s">
        <v>55</v>
      </c>
      <c r="D36" s="18" t="s">
        <v>182</v>
      </c>
      <c r="E36" s="21" t="s">
        <v>4</v>
      </c>
      <c r="F36" s="22"/>
    </row>
    <row r="37" spans="1:6" ht="93.75" customHeight="1" x14ac:dyDescent="0.4">
      <c r="A37" s="20" t="s">
        <v>11</v>
      </c>
      <c r="B37" s="20" t="s">
        <v>19</v>
      </c>
      <c r="C37" s="19" t="s">
        <v>56</v>
      </c>
      <c r="D37" s="18" t="s">
        <v>183</v>
      </c>
      <c r="E37" s="21" t="s">
        <v>4</v>
      </c>
      <c r="F37" s="22"/>
    </row>
    <row r="38" spans="1:6" ht="93.75" customHeight="1" x14ac:dyDescent="0.4">
      <c r="A38" s="20" t="s">
        <v>11</v>
      </c>
      <c r="B38" s="20" t="s">
        <v>19</v>
      </c>
      <c r="C38" s="19" t="s">
        <v>57</v>
      </c>
      <c r="D38" s="18" t="s">
        <v>184</v>
      </c>
      <c r="E38" s="21" t="s">
        <v>4</v>
      </c>
      <c r="F38" s="22"/>
    </row>
    <row r="39" spans="1:6" ht="93.75" customHeight="1" x14ac:dyDescent="0.4">
      <c r="A39" s="20" t="s">
        <v>11</v>
      </c>
      <c r="B39" s="20" t="s">
        <v>19</v>
      </c>
      <c r="C39" s="19" t="s">
        <v>58</v>
      </c>
      <c r="D39" s="18" t="s">
        <v>185</v>
      </c>
      <c r="E39" s="21" t="s">
        <v>4</v>
      </c>
      <c r="F39" s="22"/>
    </row>
    <row r="40" spans="1:6" ht="93.75" customHeight="1" x14ac:dyDescent="0.4">
      <c r="A40" s="20" t="s">
        <v>11</v>
      </c>
      <c r="B40" s="20" t="s">
        <v>19</v>
      </c>
      <c r="C40" s="19" t="s">
        <v>59</v>
      </c>
      <c r="D40" s="18" t="s">
        <v>186</v>
      </c>
      <c r="E40" s="21" t="s">
        <v>4</v>
      </c>
      <c r="F40" s="22"/>
    </row>
    <row r="41" spans="1:6" ht="93.75" customHeight="1" x14ac:dyDescent="0.4">
      <c r="A41" s="20" t="s">
        <v>11</v>
      </c>
      <c r="B41" s="20" t="s">
        <v>19</v>
      </c>
      <c r="C41" s="19" t="s">
        <v>60</v>
      </c>
      <c r="D41" s="18" t="s">
        <v>187</v>
      </c>
      <c r="E41" s="21" t="s">
        <v>4</v>
      </c>
      <c r="F41" s="22"/>
    </row>
    <row r="42" spans="1:6" ht="93.75" customHeight="1" x14ac:dyDescent="0.4">
      <c r="A42" s="20" t="s">
        <v>11</v>
      </c>
      <c r="B42" s="20" t="s">
        <v>19</v>
      </c>
      <c r="C42" s="19" t="s">
        <v>61</v>
      </c>
      <c r="D42" s="18" t="s">
        <v>188</v>
      </c>
      <c r="E42" s="21" t="s">
        <v>4</v>
      </c>
      <c r="F42" s="22"/>
    </row>
    <row r="43" spans="1:6" ht="93.75" customHeight="1" x14ac:dyDescent="0.4">
      <c r="A43" s="20" t="s">
        <v>11</v>
      </c>
      <c r="B43" s="20" t="s">
        <v>19</v>
      </c>
      <c r="C43" s="19" t="s">
        <v>62</v>
      </c>
      <c r="D43" s="18" t="s">
        <v>189</v>
      </c>
      <c r="E43" s="21" t="s">
        <v>4</v>
      </c>
      <c r="F43" s="22"/>
    </row>
    <row r="44" spans="1:6" ht="93.75" customHeight="1" x14ac:dyDescent="0.4">
      <c r="A44" s="20" t="s">
        <v>11</v>
      </c>
      <c r="B44" s="20" t="s">
        <v>19</v>
      </c>
      <c r="C44" s="19" t="s">
        <v>63</v>
      </c>
      <c r="D44" s="18" t="s">
        <v>190</v>
      </c>
      <c r="E44" s="21" t="s">
        <v>4</v>
      </c>
      <c r="F44" s="22"/>
    </row>
    <row r="45" spans="1:6" ht="93.75" customHeight="1" x14ac:dyDescent="0.4">
      <c r="A45" s="20" t="s">
        <v>11</v>
      </c>
      <c r="B45" s="20" t="s">
        <v>19</v>
      </c>
      <c r="C45" s="19" t="s">
        <v>64</v>
      </c>
      <c r="D45" s="18" t="s">
        <v>191</v>
      </c>
      <c r="E45" s="21" t="s">
        <v>4</v>
      </c>
      <c r="F45" s="22"/>
    </row>
    <row r="46" spans="1:6" ht="93.75" customHeight="1" x14ac:dyDescent="0.4">
      <c r="A46" s="20" t="s">
        <v>11</v>
      </c>
      <c r="B46" s="20" t="s">
        <v>19</v>
      </c>
      <c r="C46" s="19" t="s">
        <v>65</v>
      </c>
      <c r="D46" s="18" t="s">
        <v>192</v>
      </c>
      <c r="E46" s="21" t="s">
        <v>4</v>
      </c>
      <c r="F46" s="22"/>
    </row>
    <row r="47" spans="1:6" ht="93.75" customHeight="1" x14ac:dyDescent="0.4">
      <c r="A47" s="20" t="s">
        <v>11</v>
      </c>
      <c r="B47" s="20" t="s">
        <v>19</v>
      </c>
      <c r="C47" s="19" t="s">
        <v>66</v>
      </c>
      <c r="D47" s="18" t="s">
        <v>193</v>
      </c>
      <c r="E47" s="21" t="s">
        <v>4</v>
      </c>
      <c r="F47" s="22"/>
    </row>
    <row r="48" spans="1:6" ht="141.75" customHeight="1" x14ac:dyDescent="0.4">
      <c r="A48" s="20" t="s">
        <v>11</v>
      </c>
      <c r="B48" s="20" t="s">
        <v>19</v>
      </c>
      <c r="C48" s="19" t="s">
        <v>67</v>
      </c>
      <c r="D48" s="18" t="s">
        <v>194</v>
      </c>
      <c r="E48" s="21" t="s">
        <v>4</v>
      </c>
      <c r="F48" s="22"/>
    </row>
    <row r="49" spans="1:6" ht="93.75" customHeight="1" x14ac:dyDescent="0.4">
      <c r="A49" s="20" t="s">
        <v>11</v>
      </c>
      <c r="B49" s="20" t="s">
        <v>19</v>
      </c>
      <c r="C49" s="19" t="s">
        <v>68</v>
      </c>
      <c r="D49" s="18" t="s">
        <v>195</v>
      </c>
      <c r="E49" s="21" t="s">
        <v>4</v>
      </c>
      <c r="F49" s="22"/>
    </row>
    <row r="50" spans="1:6" ht="93.75" customHeight="1" x14ac:dyDescent="0.4">
      <c r="A50" s="20" t="s">
        <v>11</v>
      </c>
      <c r="B50" s="20" t="s">
        <v>19</v>
      </c>
      <c r="C50" s="19" t="s">
        <v>69</v>
      </c>
      <c r="D50" s="18" t="s">
        <v>196</v>
      </c>
      <c r="E50" s="21" t="s">
        <v>4</v>
      </c>
      <c r="F50" s="22"/>
    </row>
    <row r="51" spans="1:6" ht="93.75" customHeight="1" x14ac:dyDescent="0.4">
      <c r="A51" s="20" t="s">
        <v>11</v>
      </c>
      <c r="B51" s="20" t="s">
        <v>19</v>
      </c>
      <c r="C51" s="19" t="s">
        <v>70</v>
      </c>
      <c r="D51" s="18" t="s">
        <v>197</v>
      </c>
      <c r="E51" s="21" t="s">
        <v>4</v>
      </c>
      <c r="F51" s="22"/>
    </row>
    <row r="52" spans="1:6" ht="93.75" customHeight="1" x14ac:dyDescent="0.4">
      <c r="A52" s="20" t="s">
        <v>11</v>
      </c>
      <c r="B52" s="20" t="s">
        <v>19</v>
      </c>
      <c r="C52" s="19" t="s">
        <v>71</v>
      </c>
      <c r="D52" s="18" t="s">
        <v>198</v>
      </c>
      <c r="E52" s="21" t="s">
        <v>4</v>
      </c>
      <c r="F52" s="22"/>
    </row>
    <row r="53" spans="1:6" ht="93.75" customHeight="1" x14ac:dyDescent="0.4">
      <c r="A53" s="20" t="s">
        <v>11</v>
      </c>
      <c r="B53" s="20" t="s">
        <v>19</v>
      </c>
      <c r="C53" s="19" t="s">
        <v>72</v>
      </c>
      <c r="D53" s="18" t="s">
        <v>199</v>
      </c>
      <c r="E53" s="21" t="s">
        <v>4</v>
      </c>
      <c r="F53" s="22"/>
    </row>
    <row r="54" spans="1:6" ht="93.75" customHeight="1" x14ac:dyDescent="0.4">
      <c r="A54" s="20" t="s">
        <v>11</v>
      </c>
      <c r="B54" s="20" t="s">
        <v>19</v>
      </c>
      <c r="C54" s="19" t="s">
        <v>73</v>
      </c>
      <c r="D54" s="18" t="s">
        <v>200</v>
      </c>
      <c r="E54" s="21" t="s">
        <v>4</v>
      </c>
      <c r="F54" s="22"/>
    </row>
    <row r="55" spans="1:6" ht="93.75" customHeight="1" x14ac:dyDescent="0.4">
      <c r="A55" s="20" t="s">
        <v>11</v>
      </c>
      <c r="B55" s="20" t="s">
        <v>19</v>
      </c>
      <c r="C55" s="19" t="s">
        <v>74</v>
      </c>
      <c r="D55" s="18" t="s">
        <v>201</v>
      </c>
      <c r="E55" s="21" t="s">
        <v>4</v>
      </c>
      <c r="F55" s="22"/>
    </row>
    <row r="56" spans="1:6" ht="93.75" customHeight="1" x14ac:dyDescent="0.4">
      <c r="A56" s="20" t="s">
        <v>11</v>
      </c>
      <c r="B56" s="20" t="s">
        <v>19</v>
      </c>
      <c r="C56" s="19" t="s">
        <v>75</v>
      </c>
      <c r="D56" s="18" t="s">
        <v>202</v>
      </c>
      <c r="E56" s="21" t="s">
        <v>4</v>
      </c>
      <c r="F56" s="22"/>
    </row>
    <row r="57" spans="1:6" ht="93.75" customHeight="1" x14ac:dyDescent="0.4">
      <c r="A57" s="20" t="s">
        <v>11</v>
      </c>
      <c r="B57" s="20" t="s">
        <v>19</v>
      </c>
      <c r="C57" s="19" t="s">
        <v>76</v>
      </c>
      <c r="D57" s="18" t="s">
        <v>203</v>
      </c>
      <c r="E57" s="21" t="s">
        <v>4</v>
      </c>
      <c r="F57" s="22"/>
    </row>
    <row r="58" spans="1:6" ht="93.75" customHeight="1" x14ac:dyDescent="0.4">
      <c r="A58" s="20" t="s">
        <v>11</v>
      </c>
      <c r="B58" s="20" t="s">
        <v>19</v>
      </c>
      <c r="C58" s="19" t="s">
        <v>77</v>
      </c>
      <c r="D58" s="18" t="s">
        <v>204</v>
      </c>
      <c r="E58" s="21" t="s">
        <v>4</v>
      </c>
      <c r="F58" s="22"/>
    </row>
    <row r="59" spans="1:6" ht="93" customHeight="1" x14ac:dyDescent="0.4">
      <c r="A59" s="20" t="s">
        <v>11</v>
      </c>
      <c r="B59" s="20" t="s">
        <v>19</v>
      </c>
      <c r="C59" s="19" t="s">
        <v>78</v>
      </c>
      <c r="D59" s="18" t="s">
        <v>205</v>
      </c>
      <c r="E59" s="21" t="s">
        <v>4</v>
      </c>
      <c r="F59" s="22"/>
    </row>
    <row r="60" spans="1:6" ht="93.75" customHeight="1" x14ac:dyDescent="0.4">
      <c r="A60" s="20" t="s">
        <v>11</v>
      </c>
      <c r="B60" s="20" t="s">
        <v>19</v>
      </c>
      <c r="C60" s="19" t="s">
        <v>79</v>
      </c>
      <c r="D60" s="18" t="s">
        <v>206</v>
      </c>
      <c r="E60" s="21" t="s">
        <v>4</v>
      </c>
      <c r="F60" s="22"/>
    </row>
    <row r="61" spans="1:6" ht="48.75" customHeight="1" x14ac:dyDescent="0.4">
      <c r="A61" s="20" t="s">
        <v>11</v>
      </c>
      <c r="B61" s="20" t="s">
        <v>19</v>
      </c>
      <c r="C61" s="19" t="s">
        <v>80</v>
      </c>
      <c r="D61" s="18" t="s">
        <v>207</v>
      </c>
      <c r="E61" s="21" t="s">
        <v>4</v>
      </c>
      <c r="F61" s="22"/>
    </row>
    <row r="62" spans="1:6" ht="93.75" customHeight="1" x14ac:dyDescent="0.4">
      <c r="A62" s="20" t="s">
        <v>11</v>
      </c>
      <c r="B62" s="20" t="s">
        <v>19</v>
      </c>
      <c r="C62" s="19" t="s">
        <v>81</v>
      </c>
      <c r="D62" s="18" t="s">
        <v>208</v>
      </c>
      <c r="E62" s="21" t="s">
        <v>4</v>
      </c>
      <c r="F62" s="22"/>
    </row>
    <row r="63" spans="1:6" ht="93.75" customHeight="1" x14ac:dyDescent="0.4">
      <c r="A63" s="20" t="s">
        <v>11</v>
      </c>
      <c r="B63" s="20" t="s">
        <v>19</v>
      </c>
      <c r="C63" s="19" t="s">
        <v>82</v>
      </c>
      <c r="D63" s="18" t="s">
        <v>209</v>
      </c>
      <c r="E63" s="21" t="s">
        <v>4</v>
      </c>
      <c r="F63" s="22"/>
    </row>
    <row r="64" spans="1:6" ht="93.75" customHeight="1" x14ac:dyDescent="0.4">
      <c r="A64" s="20" t="s">
        <v>11</v>
      </c>
      <c r="B64" s="20" t="s">
        <v>19</v>
      </c>
      <c r="C64" s="19" t="s">
        <v>83</v>
      </c>
      <c r="D64" s="18" t="s">
        <v>210</v>
      </c>
      <c r="E64" s="21" t="s">
        <v>4</v>
      </c>
      <c r="F64" s="22"/>
    </row>
    <row r="65" spans="1:6" ht="93.75" customHeight="1" x14ac:dyDescent="0.4">
      <c r="A65" s="20" t="s">
        <v>11</v>
      </c>
      <c r="B65" s="20" t="s">
        <v>19</v>
      </c>
      <c r="C65" s="19" t="s">
        <v>84</v>
      </c>
      <c r="D65" s="18" t="s">
        <v>211</v>
      </c>
      <c r="E65" s="21" t="s">
        <v>4</v>
      </c>
      <c r="F65" s="22"/>
    </row>
    <row r="66" spans="1:6" ht="93.75" customHeight="1" x14ac:dyDescent="0.4">
      <c r="A66" s="20" t="s">
        <v>11</v>
      </c>
      <c r="B66" s="20" t="s">
        <v>19</v>
      </c>
      <c r="C66" s="19" t="s">
        <v>85</v>
      </c>
      <c r="D66" s="18" t="s">
        <v>212</v>
      </c>
      <c r="E66" s="21" t="s">
        <v>4</v>
      </c>
      <c r="F66" s="22"/>
    </row>
    <row r="67" spans="1:6" ht="93.75" customHeight="1" x14ac:dyDescent="0.4">
      <c r="A67" s="20" t="s">
        <v>11</v>
      </c>
      <c r="B67" s="20" t="s">
        <v>19</v>
      </c>
      <c r="C67" s="19" t="s">
        <v>86</v>
      </c>
      <c r="D67" s="18" t="s">
        <v>213</v>
      </c>
      <c r="E67" s="21" t="s">
        <v>4</v>
      </c>
      <c r="F67" s="22"/>
    </row>
    <row r="68" spans="1:6" ht="93.75" customHeight="1" x14ac:dyDescent="0.4">
      <c r="A68" s="20" t="s">
        <v>11</v>
      </c>
      <c r="B68" s="20" t="s">
        <v>19</v>
      </c>
      <c r="C68" s="19" t="s">
        <v>87</v>
      </c>
      <c r="D68" s="18" t="s">
        <v>214</v>
      </c>
      <c r="E68" s="21" t="s">
        <v>4</v>
      </c>
      <c r="F68" s="22"/>
    </row>
    <row r="69" spans="1:6" ht="93.75" customHeight="1" x14ac:dyDescent="0.4">
      <c r="A69" s="20" t="s">
        <v>11</v>
      </c>
      <c r="B69" s="20" t="s">
        <v>19</v>
      </c>
      <c r="C69" s="19" t="s">
        <v>88</v>
      </c>
      <c r="D69" s="18" t="s">
        <v>215</v>
      </c>
      <c r="E69" s="21" t="s">
        <v>4</v>
      </c>
      <c r="F69" s="22"/>
    </row>
    <row r="70" spans="1:6" ht="93.75" customHeight="1" x14ac:dyDescent="0.4">
      <c r="A70" s="20" t="s">
        <v>11</v>
      </c>
      <c r="B70" s="20" t="s">
        <v>20</v>
      </c>
      <c r="C70" s="19" t="s">
        <v>89</v>
      </c>
      <c r="D70" s="18" t="s">
        <v>216</v>
      </c>
      <c r="E70" s="21" t="s">
        <v>4</v>
      </c>
      <c r="F70" s="22"/>
    </row>
    <row r="71" spans="1:6" ht="93.75" customHeight="1" x14ac:dyDescent="0.4">
      <c r="A71" s="20" t="s">
        <v>11</v>
      </c>
      <c r="B71" s="20" t="s">
        <v>20</v>
      </c>
      <c r="C71" s="19" t="s">
        <v>90</v>
      </c>
      <c r="D71" s="18" t="s">
        <v>217</v>
      </c>
      <c r="E71" s="21" t="s">
        <v>4</v>
      </c>
      <c r="F71" s="22"/>
    </row>
    <row r="72" spans="1:6" ht="93.75" customHeight="1" x14ac:dyDescent="0.4">
      <c r="A72" s="20" t="s">
        <v>11</v>
      </c>
      <c r="B72" s="20" t="s">
        <v>20</v>
      </c>
      <c r="C72" s="19" t="s">
        <v>91</v>
      </c>
      <c r="D72" s="18" t="s">
        <v>218</v>
      </c>
      <c r="E72" s="21" t="s">
        <v>4</v>
      </c>
      <c r="F72" s="22"/>
    </row>
    <row r="73" spans="1:6" ht="93.75" customHeight="1" x14ac:dyDescent="0.4">
      <c r="A73" s="20" t="s">
        <v>11</v>
      </c>
      <c r="B73" s="20" t="s">
        <v>20</v>
      </c>
      <c r="C73" s="19" t="s">
        <v>92</v>
      </c>
      <c r="D73" s="18" t="s">
        <v>219</v>
      </c>
      <c r="E73" s="21" t="s">
        <v>4</v>
      </c>
      <c r="F73" s="22"/>
    </row>
    <row r="74" spans="1:6" ht="93.75" customHeight="1" x14ac:dyDescent="0.4">
      <c r="A74" s="20" t="s">
        <v>11</v>
      </c>
      <c r="B74" s="20" t="s">
        <v>20</v>
      </c>
      <c r="C74" s="19" t="s">
        <v>93</v>
      </c>
      <c r="D74" s="18" t="s">
        <v>220</v>
      </c>
      <c r="E74" s="21" t="s">
        <v>4</v>
      </c>
      <c r="F74" s="22"/>
    </row>
    <row r="75" spans="1:6" ht="93.75" customHeight="1" x14ac:dyDescent="0.4">
      <c r="A75" s="20" t="s">
        <v>11</v>
      </c>
      <c r="B75" s="20" t="s">
        <v>20</v>
      </c>
      <c r="C75" s="19" t="s">
        <v>94</v>
      </c>
      <c r="D75" s="18" t="s">
        <v>221</v>
      </c>
      <c r="E75" s="21" t="s">
        <v>4</v>
      </c>
      <c r="F75" s="22"/>
    </row>
    <row r="76" spans="1:6" ht="93.75" customHeight="1" x14ac:dyDescent="0.4">
      <c r="A76" s="20" t="s">
        <v>11</v>
      </c>
      <c r="B76" s="20" t="s">
        <v>20</v>
      </c>
      <c r="C76" s="19" t="s">
        <v>95</v>
      </c>
      <c r="D76" s="18" t="s">
        <v>222</v>
      </c>
      <c r="E76" s="21" t="s">
        <v>4</v>
      </c>
      <c r="F76" s="22"/>
    </row>
    <row r="77" spans="1:6" ht="93.75" customHeight="1" x14ac:dyDescent="0.4">
      <c r="A77" s="20" t="s">
        <v>11</v>
      </c>
      <c r="B77" s="20" t="s">
        <v>20</v>
      </c>
      <c r="C77" s="19" t="s">
        <v>96</v>
      </c>
      <c r="D77" s="18" t="s">
        <v>223</v>
      </c>
      <c r="E77" s="21" t="s">
        <v>4</v>
      </c>
      <c r="F77" s="22"/>
    </row>
    <row r="78" spans="1:6" ht="93.75" customHeight="1" x14ac:dyDescent="0.4">
      <c r="A78" s="20" t="s">
        <v>11</v>
      </c>
      <c r="B78" s="20" t="s">
        <v>21</v>
      </c>
      <c r="C78" s="19" t="s">
        <v>97</v>
      </c>
      <c r="D78" s="18" t="s">
        <v>224</v>
      </c>
      <c r="E78" s="21" t="s">
        <v>4</v>
      </c>
      <c r="F78" s="22"/>
    </row>
    <row r="79" spans="1:6" ht="93.75" customHeight="1" x14ac:dyDescent="0.4">
      <c r="A79" s="20" t="s">
        <v>11</v>
      </c>
      <c r="B79" s="20" t="s">
        <v>21</v>
      </c>
      <c r="C79" s="19" t="s">
        <v>98</v>
      </c>
      <c r="D79" s="18" t="s">
        <v>225</v>
      </c>
      <c r="E79" s="21" t="s">
        <v>4</v>
      </c>
      <c r="F79" s="22"/>
    </row>
    <row r="80" spans="1:6" ht="93.75" customHeight="1" x14ac:dyDescent="0.4">
      <c r="A80" s="20" t="s">
        <v>11</v>
      </c>
      <c r="B80" s="20" t="s">
        <v>21</v>
      </c>
      <c r="C80" s="19" t="s">
        <v>99</v>
      </c>
      <c r="D80" s="18" t="s">
        <v>226</v>
      </c>
      <c r="E80" s="21" t="s">
        <v>4</v>
      </c>
      <c r="F80" s="22"/>
    </row>
    <row r="81" spans="1:6" ht="93.75" customHeight="1" x14ac:dyDescent="0.4">
      <c r="A81" s="20" t="s">
        <v>11</v>
      </c>
      <c r="B81" s="20" t="s">
        <v>21</v>
      </c>
      <c r="C81" s="19" t="s">
        <v>100</v>
      </c>
      <c r="D81" s="18" t="s">
        <v>227</v>
      </c>
      <c r="E81" s="21" t="s">
        <v>4</v>
      </c>
      <c r="F81" s="22"/>
    </row>
    <row r="82" spans="1:6" ht="93.75" customHeight="1" x14ac:dyDescent="0.4">
      <c r="A82" s="20" t="s">
        <v>11</v>
      </c>
      <c r="B82" s="20" t="s">
        <v>21</v>
      </c>
      <c r="C82" s="19" t="s">
        <v>101</v>
      </c>
      <c r="D82" s="18" t="s">
        <v>228</v>
      </c>
      <c r="E82" s="21" t="s">
        <v>4</v>
      </c>
      <c r="F82" s="22"/>
    </row>
    <row r="83" spans="1:6" ht="93.75" customHeight="1" x14ac:dyDescent="0.4">
      <c r="A83" s="20" t="s">
        <v>11</v>
      </c>
      <c r="B83" s="20" t="s">
        <v>21</v>
      </c>
      <c r="C83" s="19" t="s">
        <v>102</v>
      </c>
      <c r="D83" s="18" t="s">
        <v>229</v>
      </c>
      <c r="E83" s="21" t="s">
        <v>4</v>
      </c>
      <c r="F83" s="22"/>
    </row>
    <row r="84" spans="1:6" ht="93.75" customHeight="1" x14ac:dyDescent="0.4">
      <c r="A84" s="20" t="s">
        <v>11</v>
      </c>
      <c r="B84" s="20" t="s">
        <v>21</v>
      </c>
      <c r="C84" s="19" t="s">
        <v>103</v>
      </c>
      <c r="D84" s="18" t="s">
        <v>230</v>
      </c>
      <c r="E84" s="21" t="s">
        <v>4</v>
      </c>
      <c r="F84" s="22"/>
    </row>
    <row r="85" spans="1:6" ht="93.75" customHeight="1" x14ac:dyDescent="0.4">
      <c r="A85" s="20" t="s">
        <v>11</v>
      </c>
      <c r="B85" s="20" t="s">
        <v>21</v>
      </c>
      <c r="C85" s="19" t="s">
        <v>104</v>
      </c>
      <c r="D85" s="18" t="s">
        <v>231</v>
      </c>
      <c r="E85" s="21" t="s">
        <v>4</v>
      </c>
      <c r="F85" s="22"/>
    </row>
    <row r="86" spans="1:6" ht="93.75" customHeight="1" x14ac:dyDescent="0.4">
      <c r="A86" s="20" t="s">
        <v>11</v>
      </c>
      <c r="B86" s="20" t="s">
        <v>21</v>
      </c>
      <c r="C86" s="19" t="s">
        <v>105</v>
      </c>
      <c r="D86" s="18" t="s">
        <v>232</v>
      </c>
      <c r="E86" s="21" t="s">
        <v>4</v>
      </c>
      <c r="F86" s="22"/>
    </row>
    <row r="87" spans="1:6" ht="93.75" customHeight="1" x14ac:dyDescent="0.4">
      <c r="A87" s="20" t="s">
        <v>11</v>
      </c>
      <c r="B87" s="20" t="s">
        <v>21</v>
      </c>
      <c r="C87" s="19" t="s">
        <v>106</v>
      </c>
      <c r="D87" s="18" t="s">
        <v>233</v>
      </c>
      <c r="E87" s="21" t="s">
        <v>4</v>
      </c>
      <c r="F87" s="22"/>
    </row>
    <row r="88" spans="1:6" ht="93.75" customHeight="1" x14ac:dyDescent="0.4">
      <c r="A88" s="20" t="s">
        <v>11</v>
      </c>
      <c r="B88" s="20" t="s">
        <v>21</v>
      </c>
      <c r="C88" s="19" t="s">
        <v>107</v>
      </c>
      <c r="D88" s="18" t="s">
        <v>234</v>
      </c>
      <c r="E88" s="21" t="s">
        <v>4</v>
      </c>
      <c r="F88" s="22"/>
    </row>
    <row r="89" spans="1:6" ht="93.75" customHeight="1" x14ac:dyDescent="0.4">
      <c r="A89" s="20" t="s">
        <v>11</v>
      </c>
      <c r="B89" s="20" t="s">
        <v>21</v>
      </c>
      <c r="C89" s="19" t="s">
        <v>108</v>
      </c>
      <c r="D89" s="18" t="s">
        <v>235</v>
      </c>
      <c r="E89" s="21" t="s">
        <v>4</v>
      </c>
      <c r="F89" s="22"/>
    </row>
    <row r="90" spans="1:6" ht="93.75" customHeight="1" x14ac:dyDescent="0.4">
      <c r="A90" s="20" t="s">
        <v>11</v>
      </c>
      <c r="B90" s="20" t="s">
        <v>21</v>
      </c>
      <c r="C90" s="19" t="s">
        <v>109</v>
      </c>
      <c r="D90" s="18" t="s">
        <v>236</v>
      </c>
      <c r="E90" s="21" t="s">
        <v>4</v>
      </c>
      <c r="F90" s="22"/>
    </row>
    <row r="91" spans="1:6" ht="93.75" customHeight="1" x14ac:dyDescent="0.4">
      <c r="A91" s="20" t="s">
        <v>11</v>
      </c>
      <c r="B91" s="20" t="s">
        <v>21</v>
      </c>
      <c r="C91" s="19" t="s">
        <v>110</v>
      </c>
      <c r="D91" s="18" t="s">
        <v>237</v>
      </c>
      <c r="E91" s="21" t="s">
        <v>4</v>
      </c>
      <c r="F91" s="22"/>
    </row>
    <row r="92" spans="1:6" ht="93.75" customHeight="1" x14ac:dyDescent="0.4">
      <c r="A92" s="20" t="s">
        <v>11</v>
      </c>
      <c r="B92" s="20" t="s">
        <v>22</v>
      </c>
      <c r="C92" s="19" t="s">
        <v>111</v>
      </c>
      <c r="D92" s="18" t="s">
        <v>238</v>
      </c>
      <c r="E92" s="21" t="s">
        <v>4</v>
      </c>
      <c r="F92" s="22"/>
    </row>
    <row r="93" spans="1:6" ht="93.75" customHeight="1" x14ac:dyDescent="0.4">
      <c r="A93" s="20" t="s">
        <v>11</v>
      </c>
      <c r="B93" s="20" t="s">
        <v>22</v>
      </c>
      <c r="C93" s="19" t="s">
        <v>112</v>
      </c>
      <c r="D93" s="18" t="s">
        <v>239</v>
      </c>
      <c r="E93" s="21" t="s">
        <v>4</v>
      </c>
      <c r="F93" s="22"/>
    </row>
    <row r="94" spans="1:6" ht="93.75" customHeight="1" x14ac:dyDescent="0.4">
      <c r="A94" s="20" t="s">
        <v>11</v>
      </c>
      <c r="B94" s="20" t="s">
        <v>22</v>
      </c>
      <c r="C94" s="19" t="s">
        <v>113</v>
      </c>
      <c r="D94" s="18" t="s">
        <v>240</v>
      </c>
      <c r="E94" s="21" t="s">
        <v>4</v>
      </c>
      <c r="F94" s="22"/>
    </row>
    <row r="95" spans="1:6" ht="93.75" customHeight="1" x14ac:dyDescent="0.4">
      <c r="A95" s="20" t="s">
        <v>11</v>
      </c>
      <c r="B95" s="20" t="s">
        <v>22</v>
      </c>
      <c r="C95" s="19" t="s">
        <v>114</v>
      </c>
      <c r="D95" s="18" t="s">
        <v>241</v>
      </c>
      <c r="E95" s="21" t="s">
        <v>4</v>
      </c>
      <c r="F95" s="22"/>
    </row>
    <row r="96" spans="1:6" ht="93.75" customHeight="1" x14ac:dyDescent="0.4">
      <c r="A96" s="20" t="s">
        <v>11</v>
      </c>
      <c r="B96" s="20" t="s">
        <v>22</v>
      </c>
      <c r="C96" s="19" t="s">
        <v>115</v>
      </c>
      <c r="D96" s="18" t="s">
        <v>242</v>
      </c>
      <c r="E96" s="21" t="s">
        <v>4</v>
      </c>
      <c r="F96" s="22"/>
    </row>
    <row r="97" spans="1:6" ht="93.75" customHeight="1" x14ac:dyDescent="0.4">
      <c r="A97" s="20" t="s">
        <v>11</v>
      </c>
      <c r="B97" s="20" t="s">
        <v>22</v>
      </c>
      <c r="C97" s="19" t="s">
        <v>116</v>
      </c>
      <c r="D97" s="18" t="s">
        <v>243</v>
      </c>
      <c r="E97" s="21" t="s">
        <v>4</v>
      </c>
      <c r="F97" s="22"/>
    </row>
    <row r="98" spans="1:6" ht="93.75" customHeight="1" x14ac:dyDescent="0.4">
      <c r="A98" s="20" t="s">
        <v>11</v>
      </c>
      <c r="B98" s="20" t="s">
        <v>22</v>
      </c>
      <c r="C98" s="19" t="s">
        <v>117</v>
      </c>
      <c r="D98" s="18" t="s">
        <v>244</v>
      </c>
      <c r="E98" s="21" t="s">
        <v>4</v>
      </c>
      <c r="F98" s="22"/>
    </row>
    <row r="99" spans="1:6" ht="93.75" customHeight="1" x14ac:dyDescent="0.4">
      <c r="A99" s="20" t="s">
        <v>11</v>
      </c>
      <c r="B99" s="20" t="s">
        <v>22</v>
      </c>
      <c r="C99" s="19" t="s">
        <v>118</v>
      </c>
      <c r="D99" s="18" t="s">
        <v>245</v>
      </c>
      <c r="E99" s="21" t="s">
        <v>4</v>
      </c>
      <c r="F99" s="22"/>
    </row>
    <row r="100" spans="1:6" ht="93.75" customHeight="1" x14ac:dyDescent="0.4">
      <c r="A100" s="20" t="s">
        <v>11</v>
      </c>
      <c r="B100" s="20" t="s">
        <v>22</v>
      </c>
      <c r="C100" s="19" t="s">
        <v>119</v>
      </c>
      <c r="D100" s="18" t="s">
        <v>246</v>
      </c>
      <c r="E100" s="21" t="s">
        <v>4</v>
      </c>
      <c r="F100" s="22"/>
    </row>
    <row r="101" spans="1:6" ht="93.75" customHeight="1" x14ac:dyDescent="0.4">
      <c r="A101" s="20" t="s">
        <v>11</v>
      </c>
      <c r="B101" s="20" t="s">
        <v>22</v>
      </c>
      <c r="C101" s="19" t="s">
        <v>120</v>
      </c>
      <c r="D101" s="18" t="s">
        <v>247</v>
      </c>
      <c r="E101" s="21" t="s">
        <v>4</v>
      </c>
      <c r="F101" s="22"/>
    </row>
    <row r="102" spans="1:6" ht="93.75" customHeight="1" x14ac:dyDescent="0.4">
      <c r="A102" s="20" t="s">
        <v>11</v>
      </c>
      <c r="B102" s="20" t="s">
        <v>22</v>
      </c>
      <c r="C102" s="19" t="s">
        <v>121</v>
      </c>
      <c r="D102" s="18" t="s">
        <v>248</v>
      </c>
      <c r="E102" s="21" t="s">
        <v>4</v>
      </c>
      <c r="F102" s="22"/>
    </row>
    <row r="103" spans="1:6" ht="93.75" customHeight="1" x14ac:dyDescent="0.4">
      <c r="A103" s="20" t="s">
        <v>11</v>
      </c>
      <c r="B103" s="20" t="s">
        <v>22</v>
      </c>
      <c r="C103" s="19" t="s">
        <v>122</v>
      </c>
      <c r="D103" s="18" t="s">
        <v>249</v>
      </c>
      <c r="E103" s="21" t="s">
        <v>4</v>
      </c>
      <c r="F103" s="22"/>
    </row>
    <row r="104" spans="1:6" ht="93.75" customHeight="1" x14ac:dyDescent="0.4">
      <c r="A104" s="20" t="s">
        <v>11</v>
      </c>
      <c r="B104" s="20" t="s">
        <v>22</v>
      </c>
      <c r="C104" s="19" t="s">
        <v>123</v>
      </c>
      <c r="D104" s="18" t="s">
        <v>250</v>
      </c>
      <c r="E104" s="21" t="s">
        <v>4</v>
      </c>
      <c r="F104" s="22"/>
    </row>
    <row r="105" spans="1:6" ht="93.75" customHeight="1" x14ac:dyDescent="0.4">
      <c r="A105" s="20" t="s">
        <v>11</v>
      </c>
      <c r="B105" s="20" t="s">
        <v>22</v>
      </c>
      <c r="C105" s="19" t="s">
        <v>124</v>
      </c>
      <c r="D105" s="18" t="s">
        <v>251</v>
      </c>
      <c r="E105" s="21" t="s">
        <v>4</v>
      </c>
      <c r="F105" s="22"/>
    </row>
    <row r="106" spans="1:6" ht="93.75" customHeight="1" x14ac:dyDescent="0.4">
      <c r="A106" s="20" t="s">
        <v>11</v>
      </c>
      <c r="B106" s="20" t="s">
        <v>22</v>
      </c>
      <c r="C106" s="19" t="s">
        <v>125</v>
      </c>
      <c r="D106" s="18" t="s">
        <v>252</v>
      </c>
      <c r="E106" s="21" t="s">
        <v>4</v>
      </c>
      <c r="F106" s="22"/>
    </row>
    <row r="107" spans="1:6" ht="93.75" customHeight="1" x14ac:dyDescent="0.4">
      <c r="A107" s="20" t="s">
        <v>11</v>
      </c>
      <c r="B107" s="20" t="s">
        <v>22</v>
      </c>
      <c r="C107" s="19" t="s">
        <v>126</v>
      </c>
      <c r="D107" s="18" t="s">
        <v>253</v>
      </c>
      <c r="E107" s="21" t="s">
        <v>4</v>
      </c>
      <c r="F107" s="22"/>
    </row>
    <row r="108" spans="1:6" ht="93.75" customHeight="1" x14ac:dyDescent="0.4">
      <c r="A108" s="20" t="s">
        <v>11</v>
      </c>
      <c r="B108" s="20" t="s">
        <v>22</v>
      </c>
      <c r="C108" s="19" t="s">
        <v>127</v>
      </c>
      <c r="D108" s="18" t="s">
        <v>254</v>
      </c>
      <c r="E108" s="21" t="s">
        <v>4</v>
      </c>
      <c r="F108" s="22"/>
    </row>
    <row r="109" spans="1:6" ht="93.75" customHeight="1" x14ac:dyDescent="0.4">
      <c r="A109" s="20" t="s">
        <v>11</v>
      </c>
      <c r="B109" s="20" t="s">
        <v>22</v>
      </c>
      <c r="C109" s="19" t="s">
        <v>128</v>
      </c>
      <c r="D109" s="18" t="s">
        <v>255</v>
      </c>
      <c r="E109" s="21" t="s">
        <v>4</v>
      </c>
      <c r="F109" s="22"/>
    </row>
    <row r="110" spans="1:6" ht="93.75" customHeight="1" x14ac:dyDescent="0.4">
      <c r="A110" s="20" t="s">
        <v>11</v>
      </c>
      <c r="B110" s="20" t="s">
        <v>22</v>
      </c>
      <c r="C110" s="19" t="s">
        <v>129</v>
      </c>
      <c r="D110" s="18" t="s">
        <v>256</v>
      </c>
      <c r="E110" s="21" t="s">
        <v>4</v>
      </c>
      <c r="F110" s="22"/>
    </row>
    <row r="111" spans="1:6" ht="93.75" customHeight="1" x14ac:dyDescent="0.4">
      <c r="A111" s="20" t="s">
        <v>11</v>
      </c>
      <c r="B111" s="20" t="s">
        <v>22</v>
      </c>
      <c r="C111" s="19" t="s">
        <v>130</v>
      </c>
      <c r="D111" s="18" t="s">
        <v>257</v>
      </c>
      <c r="E111" s="21" t="s">
        <v>4</v>
      </c>
      <c r="F111" s="22"/>
    </row>
    <row r="112" spans="1:6" ht="93.75" customHeight="1" x14ac:dyDescent="0.4">
      <c r="A112" s="20" t="s">
        <v>11</v>
      </c>
      <c r="B112" s="20" t="s">
        <v>22</v>
      </c>
      <c r="C112" s="19" t="s">
        <v>131</v>
      </c>
      <c r="D112" s="18" t="s">
        <v>258</v>
      </c>
      <c r="E112" s="21" t="s">
        <v>4</v>
      </c>
      <c r="F112" s="22"/>
    </row>
    <row r="113" spans="1:6" ht="93.75" customHeight="1" x14ac:dyDescent="0.4">
      <c r="A113" s="20" t="s">
        <v>11</v>
      </c>
      <c r="B113" s="20" t="s">
        <v>22</v>
      </c>
      <c r="C113" s="19" t="s">
        <v>132</v>
      </c>
      <c r="D113" s="18" t="s">
        <v>259</v>
      </c>
      <c r="E113" s="21" t="s">
        <v>4</v>
      </c>
      <c r="F113" s="22"/>
    </row>
    <row r="114" spans="1:6" ht="93.75" customHeight="1" x14ac:dyDescent="0.4">
      <c r="A114" s="20" t="s">
        <v>11</v>
      </c>
      <c r="B114" s="20" t="s">
        <v>22</v>
      </c>
      <c r="C114" s="19" t="s">
        <v>133</v>
      </c>
      <c r="D114" s="18" t="s">
        <v>260</v>
      </c>
      <c r="E114" s="21" t="s">
        <v>4</v>
      </c>
      <c r="F114" s="22"/>
    </row>
    <row r="115" spans="1:6" ht="93.75" customHeight="1" x14ac:dyDescent="0.4">
      <c r="A115" s="20" t="s">
        <v>11</v>
      </c>
      <c r="B115" s="20" t="s">
        <v>22</v>
      </c>
      <c r="C115" s="19" t="s">
        <v>134</v>
      </c>
      <c r="D115" s="18" t="s">
        <v>261</v>
      </c>
      <c r="E115" s="21" t="s">
        <v>4</v>
      </c>
      <c r="F115" s="22"/>
    </row>
    <row r="116" spans="1:6" ht="93.75" customHeight="1" x14ac:dyDescent="0.4">
      <c r="A116" s="20" t="s">
        <v>11</v>
      </c>
      <c r="B116" s="20" t="s">
        <v>22</v>
      </c>
      <c r="C116" s="19" t="s">
        <v>135</v>
      </c>
      <c r="D116" s="18" t="s">
        <v>262</v>
      </c>
      <c r="E116" s="21" t="s">
        <v>4</v>
      </c>
      <c r="F116" s="22"/>
    </row>
    <row r="117" spans="1:6" ht="93.75" customHeight="1" x14ac:dyDescent="0.4">
      <c r="A117" s="20" t="s">
        <v>11</v>
      </c>
      <c r="B117" s="20" t="s">
        <v>22</v>
      </c>
      <c r="C117" s="19" t="s">
        <v>136</v>
      </c>
      <c r="D117" s="18" t="s">
        <v>263</v>
      </c>
      <c r="E117" s="21" t="s">
        <v>4</v>
      </c>
      <c r="F117" s="22"/>
    </row>
    <row r="118" spans="1:6" ht="93.75" customHeight="1" x14ac:dyDescent="0.4">
      <c r="A118" s="20" t="s">
        <v>11</v>
      </c>
      <c r="B118" s="20" t="s">
        <v>22</v>
      </c>
      <c r="C118" s="19" t="s">
        <v>137</v>
      </c>
      <c r="D118" s="18" t="s">
        <v>264</v>
      </c>
      <c r="E118" s="21" t="s">
        <v>4</v>
      </c>
      <c r="F118" s="22"/>
    </row>
    <row r="119" spans="1:6" ht="93.75" customHeight="1" x14ac:dyDescent="0.4">
      <c r="A119" s="20" t="s">
        <v>11</v>
      </c>
      <c r="B119" s="20" t="s">
        <v>22</v>
      </c>
      <c r="C119" s="19" t="s">
        <v>138</v>
      </c>
      <c r="D119" s="18" t="s">
        <v>265</v>
      </c>
      <c r="E119" s="21" t="s">
        <v>4</v>
      </c>
      <c r="F119" s="22"/>
    </row>
    <row r="120" spans="1:6" ht="93.75" customHeight="1" x14ac:dyDescent="0.4">
      <c r="A120" s="20" t="s">
        <v>11</v>
      </c>
      <c r="B120" s="20" t="s">
        <v>22</v>
      </c>
      <c r="C120" s="19" t="s">
        <v>139</v>
      </c>
      <c r="D120" s="18" t="s">
        <v>266</v>
      </c>
      <c r="E120" s="21" t="s">
        <v>4</v>
      </c>
      <c r="F120" s="22"/>
    </row>
    <row r="121" spans="1:6" ht="93.75" customHeight="1" x14ac:dyDescent="0.4">
      <c r="A121" s="20" t="s">
        <v>11</v>
      </c>
      <c r="B121" s="20" t="s">
        <v>22</v>
      </c>
      <c r="C121" s="19" t="s">
        <v>140</v>
      </c>
      <c r="D121" s="18" t="s">
        <v>267</v>
      </c>
      <c r="E121" s="21" t="s">
        <v>4</v>
      </c>
      <c r="F121" s="22"/>
    </row>
    <row r="122" spans="1:6" ht="93.75" customHeight="1" x14ac:dyDescent="0.4">
      <c r="A122" s="20" t="s">
        <v>11</v>
      </c>
      <c r="B122" s="20" t="s">
        <v>22</v>
      </c>
      <c r="C122" s="19" t="s">
        <v>141</v>
      </c>
      <c r="D122" s="18" t="s">
        <v>268</v>
      </c>
      <c r="E122" s="21" t="s">
        <v>4</v>
      </c>
      <c r="F122" s="22"/>
    </row>
    <row r="123" spans="1:6" ht="93.75" customHeight="1" x14ac:dyDescent="0.4">
      <c r="A123" s="20" t="s">
        <v>11</v>
      </c>
      <c r="B123" s="20" t="s">
        <v>22</v>
      </c>
      <c r="C123" s="19" t="s">
        <v>142</v>
      </c>
      <c r="D123" s="18" t="s">
        <v>269</v>
      </c>
      <c r="E123" s="21" t="s">
        <v>4</v>
      </c>
      <c r="F123" s="22"/>
    </row>
    <row r="124" spans="1:6" ht="93.75" customHeight="1" x14ac:dyDescent="0.4">
      <c r="A124" s="20" t="s">
        <v>11</v>
      </c>
      <c r="B124" s="20" t="s">
        <v>22</v>
      </c>
      <c r="C124" s="19" t="s">
        <v>143</v>
      </c>
      <c r="D124" s="18" t="s">
        <v>270</v>
      </c>
      <c r="E124" s="21" t="s">
        <v>4</v>
      </c>
      <c r="F124" s="22"/>
    </row>
    <row r="125" spans="1:6" ht="93.75" customHeight="1" x14ac:dyDescent="0.4">
      <c r="A125" s="20" t="s">
        <v>11</v>
      </c>
      <c r="B125" s="20" t="s">
        <v>22</v>
      </c>
      <c r="C125" s="19" t="s">
        <v>144</v>
      </c>
      <c r="D125" s="18" t="s">
        <v>271</v>
      </c>
      <c r="E125" s="21" t="s">
        <v>4</v>
      </c>
      <c r="F125" s="22"/>
    </row>
    <row r="126" spans="1:6" ht="93.75" customHeight="1" x14ac:dyDescent="0.4"/>
    <row r="127" spans="1:6" ht="93.75" customHeight="1" x14ac:dyDescent="0.4"/>
    <row r="128" spans="1:6" ht="93.75" customHeight="1" x14ac:dyDescent="0.4"/>
    <row r="129" ht="93.75" customHeight="1" x14ac:dyDescent="0.4"/>
    <row r="130" ht="93.75" customHeight="1" x14ac:dyDescent="0.4"/>
    <row r="131" ht="93.75" customHeight="1" x14ac:dyDescent="0.4"/>
    <row r="132" ht="93.75" customHeight="1" x14ac:dyDescent="0.4"/>
    <row r="133" ht="93.75" customHeight="1" x14ac:dyDescent="0.4"/>
    <row r="134" ht="93.75" customHeight="1" x14ac:dyDescent="0.4"/>
    <row r="135" ht="93.75" customHeight="1" x14ac:dyDescent="0.4"/>
    <row r="136" ht="93.75" customHeight="1" x14ac:dyDescent="0.4"/>
    <row r="137" ht="93.75" customHeight="1" x14ac:dyDescent="0.4"/>
    <row r="138" ht="93.75" customHeight="1" x14ac:dyDescent="0.4"/>
    <row r="139" ht="93.75" customHeight="1" x14ac:dyDescent="0.4"/>
    <row r="140" ht="93.75" customHeight="1" x14ac:dyDescent="0.4"/>
    <row r="141" ht="93.75" customHeight="1" x14ac:dyDescent="0.4"/>
    <row r="142" ht="93.75" customHeight="1" x14ac:dyDescent="0.4"/>
    <row r="143" ht="93.75" customHeight="1" x14ac:dyDescent="0.4"/>
    <row r="144" ht="93.75" customHeight="1" x14ac:dyDescent="0.4"/>
    <row r="145" ht="93.75" customHeight="1" x14ac:dyDescent="0.4"/>
    <row r="146" ht="93.75" customHeight="1" x14ac:dyDescent="0.4"/>
    <row r="147" ht="93.75" customHeight="1" x14ac:dyDescent="0.4"/>
    <row r="148" ht="93.75" customHeight="1" x14ac:dyDescent="0.4"/>
    <row r="149" ht="93.75" customHeight="1" x14ac:dyDescent="0.4"/>
    <row r="150" ht="93.75" customHeight="1" x14ac:dyDescent="0.4"/>
    <row r="151" ht="93.75" customHeight="1" x14ac:dyDescent="0.4"/>
    <row r="152" ht="93.75" customHeight="1" x14ac:dyDescent="0.4"/>
    <row r="153" ht="93.75" customHeight="1" x14ac:dyDescent="0.4"/>
    <row r="154" ht="93.75" customHeight="1" x14ac:dyDescent="0.4"/>
    <row r="155" ht="93.75" customHeight="1" x14ac:dyDescent="0.4"/>
    <row r="156" ht="93.75" customHeight="1" x14ac:dyDescent="0.4"/>
    <row r="157" ht="93.75" customHeight="1" x14ac:dyDescent="0.4"/>
    <row r="158" ht="93.75" customHeight="1" x14ac:dyDescent="0.4"/>
    <row r="159" ht="93.75" customHeight="1" x14ac:dyDescent="0.4"/>
    <row r="160" ht="93.75" customHeight="1" x14ac:dyDescent="0.4"/>
    <row r="161" ht="93.75" customHeight="1" x14ac:dyDescent="0.4"/>
    <row r="162" ht="93.75" customHeight="1" x14ac:dyDescent="0.4"/>
    <row r="163" ht="93.75" customHeight="1" x14ac:dyDescent="0.4"/>
    <row r="164" ht="93.75" customHeight="1" x14ac:dyDescent="0.4"/>
    <row r="165" ht="93.75" customHeight="1" x14ac:dyDescent="0.4"/>
    <row r="166" ht="93.75" customHeight="1" x14ac:dyDescent="0.4"/>
    <row r="167" ht="93.75" customHeight="1" x14ac:dyDescent="0.4"/>
    <row r="168" ht="93.75" customHeight="1" x14ac:dyDescent="0.4"/>
    <row r="169" ht="93.75" customHeight="1" x14ac:dyDescent="0.4"/>
    <row r="170" ht="93.75" customHeight="1" x14ac:dyDescent="0.4"/>
    <row r="171" ht="93.75" customHeight="1" x14ac:dyDescent="0.4"/>
    <row r="172" ht="93.75" customHeight="1" x14ac:dyDescent="0.4"/>
    <row r="173" ht="93.75" customHeight="1" x14ac:dyDescent="0.4"/>
    <row r="174" ht="93.75" customHeight="1" x14ac:dyDescent="0.4"/>
    <row r="175" ht="93.75" customHeight="1" x14ac:dyDescent="0.4"/>
    <row r="176" ht="93.75" customHeight="1" x14ac:dyDescent="0.4"/>
    <row r="177" ht="93.75" customHeight="1" x14ac:dyDescent="0.4"/>
    <row r="178" ht="93.75" customHeight="1" x14ac:dyDescent="0.4"/>
    <row r="179" ht="93.75" customHeight="1" x14ac:dyDescent="0.4"/>
    <row r="180" ht="93.75" customHeight="1" x14ac:dyDescent="0.4"/>
    <row r="181" ht="93.75" customHeight="1" x14ac:dyDescent="0.4"/>
    <row r="182" ht="93.75" customHeight="1" x14ac:dyDescent="0.4"/>
    <row r="183" ht="93.75" customHeight="1" x14ac:dyDescent="0.4"/>
    <row r="184" ht="93.75" customHeight="1" x14ac:dyDescent="0.4"/>
    <row r="185" ht="93.75" customHeight="1" x14ac:dyDescent="0.4"/>
    <row r="186" ht="93.75" customHeight="1" x14ac:dyDescent="0.4"/>
    <row r="187" ht="93.75" customHeight="1" x14ac:dyDescent="0.4"/>
    <row r="188" ht="93.75" customHeight="1" x14ac:dyDescent="0.4"/>
    <row r="189" ht="93.75" customHeight="1" x14ac:dyDescent="0.4"/>
    <row r="190" ht="93.75" customHeight="1" x14ac:dyDescent="0.4"/>
    <row r="191" ht="93.75" customHeight="1" x14ac:dyDescent="0.4"/>
    <row r="192" ht="93.75" customHeight="1" x14ac:dyDescent="0.4"/>
    <row r="193" ht="93.75" customHeight="1" x14ac:dyDescent="0.4"/>
    <row r="194" ht="93.75" customHeight="1" x14ac:dyDescent="0.4"/>
    <row r="195" ht="93.75" customHeight="1" x14ac:dyDescent="0.4"/>
    <row r="196" ht="93.75" customHeight="1" x14ac:dyDescent="0.4"/>
    <row r="197" ht="93.75" customHeight="1" x14ac:dyDescent="0.4"/>
    <row r="198" ht="93.75" customHeight="1" x14ac:dyDescent="0.4"/>
    <row r="199" ht="93.75" customHeight="1" x14ac:dyDescent="0.4"/>
    <row r="200" ht="93.75" customHeight="1" x14ac:dyDescent="0.4"/>
    <row r="201" ht="93.75" customHeight="1" x14ac:dyDescent="0.4"/>
    <row r="202" ht="93.75" customHeight="1" x14ac:dyDescent="0.4"/>
    <row r="203" ht="93.75" customHeight="1" x14ac:dyDescent="0.4"/>
    <row r="204" ht="93.75" customHeight="1" x14ac:dyDescent="0.4"/>
    <row r="205" ht="93.75" customHeight="1" x14ac:dyDescent="0.4"/>
    <row r="206" ht="93.75" customHeight="1" x14ac:dyDescent="0.4"/>
    <row r="207" ht="93.75" customHeight="1" x14ac:dyDescent="0.4"/>
    <row r="208" ht="93.75" customHeight="1" x14ac:dyDescent="0.4"/>
    <row r="209" ht="93.75" customHeight="1" x14ac:dyDescent="0.4"/>
    <row r="210" ht="93.75" customHeight="1" x14ac:dyDescent="0.4"/>
    <row r="211" ht="93.75" customHeight="1" x14ac:dyDescent="0.4"/>
    <row r="212" ht="93.75" customHeight="1" x14ac:dyDescent="0.4"/>
    <row r="213" ht="93.75" customHeight="1" x14ac:dyDescent="0.4"/>
    <row r="214" ht="93.75" customHeight="1" x14ac:dyDescent="0.4"/>
    <row r="215" ht="93.75" customHeight="1" x14ac:dyDescent="0.4"/>
    <row r="216" ht="93.75" customHeight="1" x14ac:dyDescent="0.4"/>
    <row r="217" ht="93.75" customHeight="1" x14ac:dyDescent="0.4"/>
    <row r="218" ht="93.75" customHeight="1" x14ac:dyDescent="0.4"/>
    <row r="219" ht="93.75" customHeight="1" x14ac:dyDescent="0.4"/>
    <row r="220" ht="93.75" customHeight="1" x14ac:dyDescent="0.4"/>
    <row r="221" ht="93.75" customHeight="1" x14ac:dyDescent="0.4"/>
    <row r="222" ht="93.75" customHeight="1" x14ac:dyDescent="0.4"/>
    <row r="223" ht="93.75" customHeight="1" x14ac:dyDescent="0.4"/>
    <row r="224" ht="93.75" customHeight="1" x14ac:dyDescent="0.4"/>
    <row r="225" ht="93.75" customHeight="1" x14ac:dyDescent="0.4"/>
    <row r="226" ht="93.75" customHeight="1" x14ac:dyDescent="0.4"/>
    <row r="227" ht="93.75" customHeight="1" x14ac:dyDescent="0.4"/>
    <row r="228" ht="93.75" customHeight="1" x14ac:dyDescent="0.4"/>
    <row r="229" ht="93.75" customHeight="1" x14ac:dyDescent="0.4"/>
    <row r="230" ht="93.75" customHeight="1" x14ac:dyDescent="0.4"/>
    <row r="231" ht="93.75" customHeight="1" x14ac:dyDescent="0.4"/>
    <row r="232" ht="93.75" customHeight="1" x14ac:dyDescent="0.4"/>
    <row r="233" ht="93.75" customHeight="1" x14ac:dyDescent="0.4"/>
    <row r="234" ht="93.75" customHeight="1" x14ac:dyDescent="0.4"/>
    <row r="235" ht="93.75" customHeight="1" x14ac:dyDescent="0.4"/>
    <row r="236" ht="93.75" customHeight="1" x14ac:dyDescent="0.4"/>
    <row r="237" ht="93.75" customHeight="1" x14ac:dyDescent="0.4"/>
    <row r="238" ht="93.75" customHeight="1" x14ac:dyDescent="0.4"/>
    <row r="239" ht="93.75" customHeight="1" x14ac:dyDescent="0.4"/>
    <row r="240" ht="93.75" customHeight="1" x14ac:dyDescent="0.4"/>
    <row r="241" ht="93.75" customHeight="1" x14ac:dyDescent="0.4"/>
    <row r="242" ht="93.75" customHeight="1" x14ac:dyDescent="0.4"/>
    <row r="243" ht="93.75" customHeight="1" x14ac:dyDescent="0.4"/>
    <row r="244" ht="93.75" customHeight="1" x14ac:dyDescent="0.4"/>
    <row r="245" ht="93.75" customHeight="1" x14ac:dyDescent="0.4"/>
    <row r="246" ht="93.75" customHeight="1" x14ac:dyDescent="0.4"/>
    <row r="247" ht="93.75" customHeight="1" x14ac:dyDescent="0.4"/>
    <row r="248" ht="93.75" customHeight="1" x14ac:dyDescent="0.4"/>
    <row r="249" ht="93.75" customHeight="1" x14ac:dyDescent="0.4"/>
    <row r="250" ht="93.75" customHeight="1" x14ac:dyDescent="0.4"/>
    <row r="251" ht="93.75" customHeight="1" x14ac:dyDescent="0.4"/>
    <row r="252" ht="93.75" customHeight="1" x14ac:dyDescent="0.4"/>
    <row r="253" ht="93.75" customHeight="1" x14ac:dyDescent="0.4"/>
    <row r="254" ht="93.75" customHeight="1" x14ac:dyDescent="0.4"/>
    <row r="255" ht="93.75" customHeight="1" x14ac:dyDescent="0.4"/>
    <row r="256" ht="93.75" customHeight="1" x14ac:dyDescent="0.4"/>
    <row r="257" ht="93.75" customHeight="1" x14ac:dyDescent="0.4"/>
    <row r="258" ht="93.75" customHeight="1" x14ac:dyDescent="0.4"/>
    <row r="259" ht="93.75" customHeight="1" x14ac:dyDescent="0.4"/>
    <row r="260" ht="93.75" customHeight="1" x14ac:dyDescent="0.4"/>
    <row r="261" ht="93.75" customHeight="1" x14ac:dyDescent="0.4"/>
    <row r="262" ht="93.75" customHeight="1" x14ac:dyDescent="0.4"/>
    <row r="263" ht="93.75" customHeight="1" x14ac:dyDescent="0.4"/>
    <row r="264" ht="93.75" customHeight="1" x14ac:dyDescent="0.4"/>
    <row r="265" ht="93.75" customHeight="1" x14ac:dyDescent="0.4"/>
    <row r="266" ht="93.75" customHeight="1" x14ac:dyDescent="0.4"/>
    <row r="267" ht="93.75" customHeight="1" x14ac:dyDescent="0.4"/>
    <row r="268" ht="93.75" customHeight="1" x14ac:dyDescent="0.4"/>
    <row r="269" ht="93.75" customHeight="1" x14ac:dyDescent="0.4"/>
    <row r="270" ht="93.75" customHeight="1" x14ac:dyDescent="0.4"/>
    <row r="271" ht="93.75" customHeight="1" x14ac:dyDescent="0.4"/>
    <row r="272" ht="93.75" customHeight="1" x14ac:dyDescent="0.4"/>
    <row r="273" ht="93.75" customHeight="1" x14ac:dyDescent="0.4"/>
    <row r="274" ht="93.75" customHeight="1" x14ac:dyDescent="0.4"/>
    <row r="275" ht="93.75" customHeight="1" x14ac:dyDescent="0.4"/>
    <row r="276" ht="93.75" customHeight="1" x14ac:dyDescent="0.4"/>
    <row r="277" ht="93.75" customHeight="1" x14ac:dyDescent="0.4"/>
    <row r="278" ht="93.75" customHeight="1" x14ac:dyDescent="0.4"/>
    <row r="279" ht="93.75" customHeight="1" x14ac:dyDescent="0.4"/>
    <row r="280" ht="93.75" customHeight="1" x14ac:dyDescent="0.4"/>
    <row r="281" ht="93.75" customHeight="1" x14ac:dyDescent="0.4"/>
    <row r="282" ht="93.75" customHeight="1" x14ac:dyDescent="0.4"/>
    <row r="283" ht="93.75" customHeight="1" x14ac:dyDescent="0.4"/>
    <row r="284" ht="93.75" customHeight="1" x14ac:dyDescent="0.4"/>
    <row r="285" ht="93.75" customHeight="1" x14ac:dyDescent="0.4"/>
    <row r="286" ht="93.75" customHeight="1" x14ac:dyDescent="0.4"/>
    <row r="287" ht="93.75" customHeight="1" x14ac:dyDescent="0.4"/>
    <row r="288" ht="93.75" customHeight="1" x14ac:dyDescent="0.4"/>
    <row r="289" ht="93.75" customHeight="1" x14ac:dyDescent="0.4"/>
    <row r="290" ht="93.75" customHeight="1" x14ac:dyDescent="0.4"/>
    <row r="291" ht="93.75" customHeight="1" x14ac:dyDescent="0.4"/>
    <row r="292" ht="93.75" customHeight="1" x14ac:dyDescent="0.4"/>
    <row r="293" ht="93.75" customHeight="1" x14ac:dyDescent="0.4"/>
    <row r="294" ht="93.75" customHeight="1" x14ac:dyDescent="0.4"/>
    <row r="295" ht="93.75" customHeight="1" x14ac:dyDescent="0.4"/>
    <row r="296" ht="93.75" customHeight="1" x14ac:dyDescent="0.4"/>
    <row r="297" ht="93.75" customHeight="1" x14ac:dyDescent="0.4"/>
    <row r="298" ht="93.75" customHeight="1" x14ac:dyDescent="0.4"/>
    <row r="299" ht="93.75" customHeight="1" x14ac:dyDescent="0.4"/>
    <row r="300" ht="93.75" customHeight="1" x14ac:dyDescent="0.4"/>
    <row r="301" ht="93.75" customHeight="1" x14ac:dyDescent="0.4"/>
    <row r="302" ht="93.75" customHeight="1" x14ac:dyDescent="0.4"/>
    <row r="303" ht="93.75" customHeight="1" x14ac:dyDescent="0.4"/>
    <row r="304" ht="93.75" customHeight="1" x14ac:dyDescent="0.4"/>
    <row r="305" ht="93.75" customHeight="1" x14ac:dyDescent="0.4"/>
    <row r="306" ht="93.75" customHeight="1" x14ac:dyDescent="0.4"/>
    <row r="307" ht="93.75" customHeight="1" x14ac:dyDescent="0.4"/>
    <row r="308" ht="93.75" customHeight="1" x14ac:dyDescent="0.4"/>
    <row r="309" ht="93.75" customHeight="1" x14ac:dyDescent="0.4"/>
    <row r="310" ht="93.75" customHeight="1" x14ac:dyDescent="0.4"/>
    <row r="311" ht="93.75" customHeight="1" x14ac:dyDescent="0.4"/>
    <row r="312" ht="93.75" customHeight="1" x14ac:dyDescent="0.4"/>
    <row r="313" ht="93.75" customHeight="1" x14ac:dyDescent="0.4"/>
    <row r="314" ht="93.75" customHeight="1" x14ac:dyDescent="0.4"/>
    <row r="315" ht="93.75" customHeight="1" x14ac:dyDescent="0.4"/>
    <row r="316" ht="93.75" customHeight="1" x14ac:dyDescent="0.4"/>
    <row r="317" ht="93.75" customHeight="1" x14ac:dyDescent="0.4"/>
    <row r="318" ht="93.75" customHeight="1" x14ac:dyDescent="0.4"/>
    <row r="319" ht="93.75" customHeight="1" x14ac:dyDescent="0.4"/>
    <row r="320" ht="93.75" customHeight="1" x14ac:dyDescent="0.4"/>
    <row r="321" ht="93.75" customHeight="1" x14ac:dyDescent="0.4"/>
    <row r="322" ht="93.75" customHeight="1" x14ac:dyDescent="0.4"/>
    <row r="323" ht="93.75" customHeight="1" x14ac:dyDescent="0.4"/>
    <row r="324" ht="93.75" customHeight="1" x14ac:dyDescent="0.4"/>
    <row r="325" ht="93.75" customHeight="1" x14ac:dyDescent="0.4"/>
    <row r="326" ht="93.75" customHeight="1" x14ac:dyDescent="0.4"/>
    <row r="327" ht="93.75" customHeight="1" x14ac:dyDescent="0.4"/>
    <row r="328" ht="93.75" customHeight="1" x14ac:dyDescent="0.4"/>
    <row r="329" ht="93.75" customHeight="1" x14ac:dyDescent="0.4"/>
    <row r="330" ht="93.75" customHeight="1" x14ac:dyDescent="0.4"/>
    <row r="331" ht="93.75" customHeight="1" x14ac:dyDescent="0.4"/>
    <row r="332" ht="93.75" customHeight="1" x14ac:dyDescent="0.4"/>
    <row r="333" ht="93.75" customHeight="1" x14ac:dyDescent="0.4"/>
    <row r="334" ht="93.75" customHeight="1" x14ac:dyDescent="0.4"/>
    <row r="335" ht="93.75" customHeight="1" x14ac:dyDescent="0.4"/>
    <row r="336" ht="93.75" customHeight="1" x14ac:dyDescent="0.4"/>
    <row r="337" ht="93.75" customHeight="1" x14ac:dyDescent="0.4"/>
    <row r="338" ht="93.75" customHeight="1" x14ac:dyDescent="0.4"/>
    <row r="339" ht="93.75" customHeight="1" x14ac:dyDescent="0.4"/>
    <row r="340" ht="93.75" customHeight="1" x14ac:dyDescent="0.4"/>
    <row r="341" ht="93.75" customHeight="1" x14ac:dyDescent="0.4"/>
    <row r="342" ht="93.75" customHeight="1" x14ac:dyDescent="0.4"/>
    <row r="343" ht="93.75" customHeight="1" x14ac:dyDescent="0.4"/>
    <row r="344" ht="93.75" customHeight="1" x14ac:dyDescent="0.4"/>
    <row r="345" ht="93.75" customHeight="1" x14ac:dyDescent="0.4"/>
    <row r="346" ht="93.75" customHeight="1" x14ac:dyDescent="0.4"/>
    <row r="347" ht="93.75" customHeight="1" x14ac:dyDescent="0.4"/>
    <row r="348" ht="93.75" customHeight="1" x14ac:dyDescent="0.4"/>
    <row r="349" ht="93.75" customHeight="1" x14ac:dyDescent="0.4"/>
    <row r="350" ht="93.75" customHeight="1" x14ac:dyDescent="0.4"/>
    <row r="351" ht="93.75" customHeight="1" x14ac:dyDescent="0.4"/>
    <row r="352" ht="93.75" customHeight="1" x14ac:dyDescent="0.4"/>
    <row r="353" ht="93.75" customHeight="1" x14ac:dyDescent="0.4"/>
    <row r="354" ht="93.75" customHeight="1" x14ac:dyDescent="0.4"/>
    <row r="355" ht="93.75" customHeight="1" x14ac:dyDescent="0.4"/>
    <row r="356" ht="93.75" customHeight="1" x14ac:dyDescent="0.4"/>
    <row r="357" ht="93.75" customHeight="1" x14ac:dyDescent="0.4"/>
    <row r="358" ht="93.75" customHeight="1" x14ac:dyDescent="0.4"/>
    <row r="359" ht="93.75" customHeight="1" x14ac:dyDescent="0.4"/>
    <row r="360" ht="93.75" customHeight="1" x14ac:dyDescent="0.4"/>
    <row r="361" ht="93.75" customHeight="1" x14ac:dyDescent="0.4"/>
    <row r="362" ht="93.75" customHeight="1" x14ac:dyDescent="0.4"/>
    <row r="363" ht="93.75" customHeight="1" x14ac:dyDescent="0.4"/>
    <row r="364" ht="93.75" customHeight="1" x14ac:dyDescent="0.4"/>
    <row r="365" ht="93.75" customHeight="1" x14ac:dyDescent="0.4"/>
    <row r="366" ht="93.75" customHeight="1" x14ac:dyDescent="0.4"/>
    <row r="367" ht="93.75" customHeight="1" x14ac:dyDescent="0.4"/>
    <row r="368" ht="93.75" customHeight="1" x14ac:dyDescent="0.4"/>
    <row r="369" ht="93.75" customHeight="1" x14ac:dyDescent="0.4"/>
    <row r="370" ht="93.75" customHeight="1" x14ac:dyDescent="0.4"/>
    <row r="371" ht="93.75" customHeight="1" x14ac:dyDescent="0.4"/>
    <row r="372" ht="93.75" customHeight="1" x14ac:dyDescent="0.4"/>
    <row r="373" ht="93.75" customHeight="1" x14ac:dyDescent="0.4"/>
    <row r="374" ht="93.75" customHeight="1" x14ac:dyDescent="0.4"/>
    <row r="375" ht="93.75" customHeight="1" x14ac:dyDescent="0.4"/>
    <row r="376" ht="93.75" customHeight="1" x14ac:dyDescent="0.4"/>
    <row r="377" ht="93.75" customHeight="1" x14ac:dyDescent="0.4"/>
    <row r="378" ht="93.75" customHeight="1" x14ac:dyDescent="0.4"/>
    <row r="379" ht="93.75" customHeight="1" x14ac:dyDescent="0.4"/>
    <row r="380" ht="93.75" customHeight="1" x14ac:dyDescent="0.4"/>
    <row r="381" ht="93.75" customHeight="1" x14ac:dyDescent="0.4"/>
    <row r="382" ht="93.75" customHeight="1" x14ac:dyDescent="0.4"/>
    <row r="383" ht="93.75" customHeight="1" x14ac:dyDescent="0.4"/>
    <row r="384" ht="93.75" customHeight="1" x14ac:dyDescent="0.4"/>
    <row r="385" ht="93.75" customHeight="1" x14ac:dyDescent="0.4"/>
    <row r="386" ht="93.75" customHeight="1" x14ac:dyDescent="0.4"/>
    <row r="387" ht="93.75" customHeight="1" x14ac:dyDescent="0.4"/>
    <row r="388" ht="93.75" customHeight="1" x14ac:dyDescent="0.4"/>
    <row r="389" ht="93.75" customHeight="1" x14ac:dyDescent="0.4"/>
    <row r="390" ht="93.75" customHeight="1" x14ac:dyDescent="0.4"/>
    <row r="391" ht="93.75" customHeight="1" x14ac:dyDescent="0.4"/>
    <row r="392" ht="93.75" customHeight="1" x14ac:dyDescent="0.4"/>
    <row r="393" ht="93.75" customHeight="1" x14ac:dyDescent="0.4"/>
    <row r="394" ht="93.75" customHeight="1" x14ac:dyDescent="0.4"/>
    <row r="395" ht="93.75" customHeight="1" x14ac:dyDescent="0.4"/>
    <row r="396" ht="93.75" customHeight="1" x14ac:dyDescent="0.4"/>
    <row r="397" ht="93.75" customHeight="1" x14ac:dyDescent="0.4"/>
    <row r="398" ht="93.75" customHeight="1" x14ac:dyDescent="0.4"/>
    <row r="399" ht="93.75" customHeight="1" x14ac:dyDescent="0.4"/>
    <row r="400" ht="93.75" customHeight="1" x14ac:dyDescent="0.4"/>
    <row r="401" ht="93.75" customHeight="1" x14ac:dyDescent="0.4"/>
    <row r="402" ht="93.75" customHeight="1" x14ac:dyDescent="0.4"/>
    <row r="403" ht="93.75" customHeight="1" x14ac:dyDescent="0.4"/>
    <row r="404" ht="93.75" customHeight="1" x14ac:dyDescent="0.4"/>
    <row r="405" ht="93.75" customHeight="1" x14ac:dyDescent="0.4"/>
    <row r="406" ht="93.75" customHeight="1" x14ac:dyDescent="0.4"/>
    <row r="407" ht="93.75" customHeight="1" x14ac:dyDescent="0.4"/>
    <row r="408" ht="93.75" customHeight="1" x14ac:dyDescent="0.4"/>
    <row r="409" ht="93.75" customHeight="1" x14ac:dyDescent="0.4"/>
    <row r="410" ht="93.75" customHeight="1" x14ac:dyDescent="0.4"/>
    <row r="411" ht="93.75" customHeight="1" x14ac:dyDescent="0.4"/>
    <row r="412" ht="93.75" customHeight="1" x14ac:dyDescent="0.4"/>
    <row r="413" ht="93.75" customHeight="1" x14ac:dyDescent="0.4"/>
    <row r="414" ht="93.75" customHeight="1" x14ac:dyDescent="0.4"/>
    <row r="415" ht="93.75" customHeight="1" x14ac:dyDescent="0.4"/>
    <row r="416" ht="93.75" customHeight="1" x14ac:dyDescent="0.4"/>
    <row r="417" ht="93.75" customHeight="1" x14ac:dyDescent="0.4"/>
    <row r="418" ht="93.75" customHeight="1" x14ac:dyDescent="0.4"/>
    <row r="419" ht="93.75" customHeight="1" x14ac:dyDescent="0.4"/>
    <row r="420" ht="93.75" customHeight="1" x14ac:dyDescent="0.4"/>
    <row r="421" ht="93.75" customHeight="1" x14ac:dyDescent="0.4"/>
    <row r="422" ht="93.75" customHeight="1" x14ac:dyDescent="0.4"/>
    <row r="423" ht="93.75" customHeight="1" x14ac:dyDescent="0.4"/>
    <row r="424" ht="93.75" customHeight="1" x14ac:dyDescent="0.4"/>
    <row r="425" ht="93.75" customHeight="1" x14ac:dyDescent="0.4"/>
    <row r="426" ht="93.75" customHeight="1" x14ac:dyDescent="0.4"/>
    <row r="427" ht="93.75" customHeight="1" x14ac:dyDescent="0.4"/>
    <row r="428" ht="93.75" customHeight="1" x14ac:dyDescent="0.4"/>
    <row r="429" ht="93.75" customHeight="1" x14ac:dyDescent="0.4"/>
    <row r="430" ht="93.75" customHeight="1" x14ac:dyDescent="0.4"/>
    <row r="431" ht="93.75" customHeight="1" x14ac:dyDescent="0.4"/>
    <row r="432" ht="93.75" customHeight="1" x14ac:dyDescent="0.4"/>
    <row r="433" ht="93.75" customHeight="1" x14ac:dyDescent="0.4"/>
    <row r="434" ht="93.75" customHeight="1" x14ac:dyDescent="0.4"/>
    <row r="435" ht="93.75" customHeight="1" x14ac:dyDescent="0.4"/>
    <row r="436" ht="93.75" customHeight="1" x14ac:dyDescent="0.4"/>
    <row r="437" ht="93.75" customHeight="1" x14ac:dyDescent="0.4"/>
    <row r="438" ht="93.75" customHeight="1" x14ac:dyDescent="0.4"/>
    <row r="439" ht="93.75" customHeight="1" x14ac:dyDescent="0.4"/>
    <row r="440" ht="93.75" customHeight="1" x14ac:dyDescent="0.4"/>
    <row r="441" ht="93.75" customHeight="1" x14ac:dyDescent="0.4"/>
    <row r="442" ht="93.75" customHeight="1" x14ac:dyDescent="0.4"/>
    <row r="443" ht="93.75" customHeight="1" x14ac:dyDescent="0.4"/>
    <row r="444" ht="93.75" customHeight="1" x14ac:dyDescent="0.4"/>
    <row r="445" ht="93.75" customHeight="1" x14ac:dyDescent="0.4"/>
    <row r="446" ht="93.75" customHeight="1" x14ac:dyDescent="0.4"/>
    <row r="447" ht="93.75" customHeight="1" x14ac:dyDescent="0.4"/>
    <row r="448" ht="93.75" customHeight="1" x14ac:dyDescent="0.4"/>
    <row r="449" ht="93.75" customHeight="1" x14ac:dyDescent="0.4"/>
    <row r="450" ht="93.75" customHeight="1" x14ac:dyDescent="0.4"/>
    <row r="451" ht="93.75" customHeight="1" x14ac:dyDescent="0.4"/>
    <row r="452" ht="93.75" customHeight="1" x14ac:dyDescent="0.4"/>
    <row r="453" ht="93.75" customHeight="1" x14ac:dyDescent="0.4"/>
    <row r="454" ht="93.75" customHeight="1" x14ac:dyDescent="0.4"/>
    <row r="455" ht="93.75" customHeight="1" x14ac:dyDescent="0.4"/>
    <row r="456" ht="93.75" customHeight="1" x14ac:dyDescent="0.4"/>
    <row r="457" ht="93.75" customHeight="1" x14ac:dyDescent="0.4"/>
    <row r="458" ht="93.75" customHeight="1" x14ac:dyDescent="0.4"/>
    <row r="459" ht="93.75" customHeight="1" x14ac:dyDescent="0.4"/>
    <row r="460" ht="93.75" customHeight="1" x14ac:dyDescent="0.4"/>
    <row r="461" ht="93.75" customHeight="1" x14ac:dyDescent="0.4"/>
    <row r="462" ht="93.75" customHeight="1" x14ac:dyDescent="0.4"/>
    <row r="463" ht="93.75" customHeight="1" x14ac:dyDescent="0.4"/>
    <row r="464" ht="93.75" customHeight="1" x14ac:dyDescent="0.4"/>
    <row r="465" ht="93.75" customHeight="1" x14ac:dyDescent="0.4"/>
    <row r="466" ht="93.75" customHeight="1" x14ac:dyDescent="0.4"/>
    <row r="467" ht="93.75" customHeight="1" x14ac:dyDescent="0.4"/>
    <row r="468" ht="93.75" customHeight="1" x14ac:dyDescent="0.4"/>
    <row r="469" ht="93.75" customHeight="1" x14ac:dyDescent="0.4"/>
    <row r="470" ht="93.75" customHeight="1" x14ac:dyDescent="0.4"/>
    <row r="471" ht="93.75" customHeight="1" x14ac:dyDescent="0.4"/>
    <row r="472" ht="93.75" customHeight="1" x14ac:dyDescent="0.4"/>
    <row r="473" ht="93.75" customHeight="1" x14ac:dyDescent="0.4"/>
    <row r="474" ht="93.75" customHeight="1" x14ac:dyDescent="0.4"/>
    <row r="475" ht="93.75" customHeight="1" x14ac:dyDescent="0.4"/>
    <row r="476" ht="93.75" customHeight="1" x14ac:dyDescent="0.4"/>
    <row r="477" ht="93.75" customHeight="1" x14ac:dyDescent="0.4"/>
    <row r="478" ht="93.75" customHeight="1" x14ac:dyDescent="0.4"/>
    <row r="479" ht="93.75" customHeight="1" x14ac:dyDescent="0.4"/>
    <row r="480" ht="93.75" customHeight="1" x14ac:dyDescent="0.4"/>
    <row r="481" ht="93.75" customHeight="1" x14ac:dyDescent="0.4"/>
    <row r="482" ht="93.75" customHeight="1" x14ac:dyDescent="0.4"/>
    <row r="483" ht="93.75" customHeight="1" x14ac:dyDescent="0.4"/>
    <row r="484" ht="93.75" customHeight="1" x14ac:dyDescent="0.4"/>
    <row r="485" ht="93.75" customHeight="1" x14ac:dyDescent="0.4"/>
    <row r="486" ht="93.75" customHeight="1" x14ac:dyDescent="0.4"/>
    <row r="487" ht="93.75" customHeight="1" x14ac:dyDescent="0.4"/>
    <row r="488" ht="93.75" customHeight="1" x14ac:dyDescent="0.4"/>
    <row r="489" ht="93.75" customHeight="1" x14ac:dyDescent="0.4"/>
    <row r="490" ht="93.75" customHeight="1" x14ac:dyDescent="0.4"/>
    <row r="491" ht="93.75" customHeight="1" x14ac:dyDescent="0.4"/>
    <row r="492" ht="93.75" customHeight="1" x14ac:dyDescent="0.4"/>
    <row r="493" ht="93.75" customHeight="1" x14ac:dyDescent="0.4"/>
    <row r="494" ht="93.75" customHeight="1" x14ac:dyDescent="0.4"/>
    <row r="495" ht="93.75" customHeight="1" x14ac:dyDescent="0.4"/>
    <row r="496" ht="93.75" customHeight="1" x14ac:dyDescent="0.4"/>
    <row r="497" ht="93.75" customHeight="1" x14ac:dyDescent="0.4"/>
    <row r="498" ht="93.75" customHeight="1" x14ac:dyDescent="0.4"/>
    <row r="499" ht="93.75" customHeight="1" x14ac:dyDescent="0.4"/>
    <row r="500" ht="93.75" customHeight="1" x14ac:dyDescent="0.4"/>
    <row r="501" ht="93.75" customHeight="1" x14ac:dyDescent="0.4"/>
    <row r="502" ht="93.75" customHeight="1" x14ac:dyDescent="0.4"/>
    <row r="503" ht="93.75" customHeight="1" x14ac:dyDescent="0.4"/>
    <row r="504" ht="93.75" customHeight="1" x14ac:dyDescent="0.4"/>
    <row r="505" ht="93.75" customHeight="1" x14ac:dyDescent="0.4"/>
    <row r="506" ht="93.75" customHeight="1" x14ac:dyDescent="0.4"/>
    <row r="507" ht="93.75" customHeight="1" x14ac:dyDescent="0.4"/>
    <row r="508" ht="93.75" customHeight="1" x14ac:dyDescent="0.4"/>
    <row r="509" ht="93.75" customHeight="1" x14ac:dyDescent="0.4"/>
    <row r="510" ht="93.75" customHeight="1" x14ac:dyDescent="0.4"/>
    <row r="511" ht="93.75" customHeight="1" x14ac:dyDescent="0.4"/>
    <row r="512" ht="93.75" customHeight="1" x14ac:dyDescent="0.4"/>
    <row r="513" ht="93.75" customHeight="1" x14ac:dyDescent="0.4"/>
    <row r="514" ht="93.75" customHeight="1" x14ac:dyDescent="0.4"/>
    <row r="515" ht="93.75" customHeight="1" x14ac:dyDescent="0.4"/>
    <row r="516" ht="93.75" customHeight="1" x14ac:dyDescent="0.4"/>
    <row r="517" ht="93.75" customHeight="1" x14ac:dyDescent="0.4"/>
    <row r="518" ht="93.75" customHeight="1" x14ac:dyDescent="0.4"/>
    <row r="519" ht="93.75" customHeight="1" x14ac:dyDescent="0.4"/>
    <row r="520" ht="93.75" customHeight="1" x14ac:dyDescent="0.4"/>
    <row r="521" ht="93.75" customHeight="1" x14ac:dyDescent="0.4"/>
    <row r="522" ht="93.75" customHeight="1" x14ac:dyDescent="0.4"/>
    <row r="523" ht="93.75" customHeight="1" x14ac:dyDescent="0.4"/>
    <row r="524" ht="93.75" customHeight="1" x14ac:dyDescent="0.4"/>
    <row r="525" ht="93.75" customHeight="1" x14ac:dyDescent="0.4"/>
    <row r="526" ht="93.75" customHeight="1" x14ac:dyDescent="0.4"/>
    <row r="527" ht="93.75" customHeight="1" x14ac:dyDescent="0.4"/>
    <row r="528" ht="93.75" customHeight="1" x14ac:dyDescent="0.4"/>
    <row r="529" ht="93.75" customHeight="1" x14ac:dyDescent="0.4"/>
    <row r="530" ht="93.75" customHeight="1" x14ac:dyDescent="0.4"/>
    <row r="531" ht="93.75" customHeight="1" x14ac:dyDescent="0.4"/>
    <row r="532" ht="93.75" customHeight="1" x14ac:dyDescent="0.4"/>
    <row r="533" ht="93.75" customHeight="1" x14ac:dyDescent="0.4"/>
    <row r="534" ht="93.75" customHeight="1" x14ac:dyDescent="0.4"/>
    <row r="535" ht="93.75" customHeight="1" x14ac:dyDescent="0.4"/>
    <row r="536" ht="93.75" customHeight="1" x14ac:dyDescent="0.4"/>
    <row r="537" ht="93.75" customHeight="1" x14ac:dyDescent="0.4"/>
    <row r="538" ht="93.75" customHeight="1" x14ac:dyDescent="0.4"/>
    <row r="539" ht="93.75" customHeight="1" x14ac:dyDescent="0.4"/>
    <row r="540" ht="93.75" customHeight="1" x14ac:dyDescent="0.4"/>
    <row r="541" ht="93.75" customHeight="1" x14ac:dyDescent="0.4"/>
    <row r="542" ht="93.75" customHeight="1" x14ac:dyDescent="0.4"/>
    <row r="543" ht="93.75" customHeight="1" x14ac:dyDescent="0.4"/>
    <row r="544" ht="93.75" customHeight="1" x14ac:dyDescent="0.4"/>
    <row r="545" ht="93.75" customHeight="1" x14ac:dyDescent="0.4"/>
    <row r="546" ht="93.75" customHeight="1" x14ac:dyDescent="0.4"/>
    <row r="547" ht="93.75" customHeight="1" x14ac:dyDescent="0.4"/>
    <row r="548" ht="93.75" customHeight="1" x14ac:dyDescent="0.4"/>
    <row r="549" ht="93.75" customHeight="1" x14ac:dyDescent="0.4"/>
    <row r="550" ht="93.75" customHeight="1" x14ac:dyDescent="0.4"/>
    <row r="551" ht="93.75" customHeight="1" x14ac:dyDescent="0.4"/>
    <row r="552" ht="93.75" customHeight="1" x14ac:dyDescent="0.4"/>
    <row r="553" ht="93.75" customHeight="1" x14ac:dyDescent="0.4"/>
    <row r="554" ht="93.75" customHeight="1" x14ac:dyDescent="0.4"/>
    <row r="555" ht="93.75" customHeight="1" x14ac:dyDescent="0.4"/>
    <row r="556" ht="93.75" customHeight="1" x14ac:dyDescent="0.4"/>
    <row r="557" ht="93.75" customHeight="1" x14ac:dyDescent="0.4"/>
    <row r="558" ht="93.75" customHeight="1" x14ac:dyDescent="0.4"/>
    <row r="559" ht="93.75" customHeight="1" x14ac:dyDescent="0.4"/>
    <row r="560" ht="93.75" customHeight="1" x14ac:dyDescent="0.4"/>
    <row r="561" ht="93.75" customHeight="1" x14ac:dyDescent="0.4"/>
    <row r="562" ht="93.75" customHeight="1" x14ac:dyDescent="0.4"/>
    <row r="563" ht="93.75" customHeight="1" x14ac:dyDescent="0.4"/>
    <row r="564" ht="93.75" customHeight="1" x14ac:dyDescent="0.4"/>
    <row r="565" ht="93.75" customHeight="1" x14ac:dyDescent="0.4"/>
    <row r="566" ht="93.75" customHeight="1" x14ac:dyDescent="0.4"/>
    <row r="567" ht="93.75" customHeight="1" x14ac:dyDescent="0.4"/>
    <row r="568" ht="93.75" customHeight="1" x14ac:dyDescent="0.4"/>
    <row r="569" ht="93.75" customHeight="1" x14ac:dyDescent="0.4"/>
    <row r="570" ht="93.75" customHeight="1" x14ac:dyDescent="0.4"/>
    <row r="571" ht="93.75" customHeight="1" x14ac:dyDescent="0.4"/>
    <row r="572" ht="93.75" customHeight="1" x14ac:dyDescent="0.4"/>
    <row r="573" ht="93.75" customHeight="1" x14ac:dyDescent="0.4"/>
    <row r="574" ht="93.75" customHeight="1" x14ac:dyDescent="0.4"/>
    <row r="575" ht="93.75" customHeight="1" x14ac:dyDescent="0.4"/>
    <row r="576" ht="93.75" customHeight="1" x14ac:dyDescent="0.4"/>
    <row r="577" ht="93.75" customHeight="1" x14ac:dyDescent="0.4"/>
    <row r="578" ht="93.75" customHeight="1" x14ac:dyDescent="0.4"/>
    <row r="579" ht="93.75" customHeight="1" x14ac:dyDescent="0.4"/>
    <row r="580" ht="93.75" customHeight="1" x14ac:dyDescent="0.4"/>
    <row r="581" ht="93.75" customHeight="1" x14ac:dyDescent="0.4"/>
    <row r="582" ht="93.75" customHeight="1" x14ac:dyDescent="0.4"/>
    <row r="583" ht="93.75" customHeight="1" x14ac:dyDescent="0.4"/>
    <row r="584" ht="93.75" customHeight="1" x14ac:dyDescent="0.4"/>
    <row r="585" ht="93.75" customHeight="1" x14ac:dyDescent="0.4"/>
    <row r="586" ht="93.75" customHeight="1" x14ac:dyDescent="0.4"/>
    <row r="587" ht="93.75" customHeight="1" x14ac:dyDescent="0.4"/>
    <row r="588" ht="93.75" customHeight="1" x14ac:dyDescent="0.4"/>
    <row r="589" ht="93.75" customHeight="1" x14ac:dyDescent="0.4"/>
    <row r="590" ht="93.75" customHeight="1" x14ac:dyDescent="0.4"/>
    <row r="591" ht="93.75" customHeight="1" x14ac:dyDescent="0.4"/>
    <row r="592" ht="93.75" customHeight="1" x14ac:dyDescent="0.4"/>
    <row r="593" ht="93.75" customHeight="1" x14ac:dyDescent="0.4"/>
    <row r="594" ht="93.75" customHeight="1" x14ac:dyDescent="0.4"/>
    <row r="595" ht="93.75" customHeight="1" x14ac:dyDescent="0.4"/>
    <row r="596" ht="93.75" customHeight="1" x14ac:dyDescent="0.4"/>
    <row r="597" ht="93.75" customHeight="1" x14ac:dyDescent="0.4"/>
    <row r="598" ht="93.75" customHeight="1" x14ac:dyDescent="0.4"/>
    <row r="599" ht="93.75" customHeight="1" x14ac:dyDescent="0.4"/>
    <row r="600" ht="93.75" customHeight="1" x14ac:dyDescent="0.4"/>
    <row r="601" ht="93.75" customHeight="1" x14ac:dyDescent="0.4"/>
    <row r="602" ht="93.75" customHeight="1" x14ac:dyDescent="0.4"/>
    <row r="603" ht="93.75" customHeight="1" x14ac:dyDescent="0.4"/>
    <row r="604" ht="93.75" customHeight="1" x14ac:dyDescent="0.4"/>
    <row r="605" ht="93.75" customHeight="1" x14ac:dyDescent="0.4"/>
    <row r="606" ht="93.75" customHeight="1" x14ac:dyDescent="0.4"/>
    <row r="607" ht="93.75" customHeight="1" x14ac:dyDescent="0.4"/>
    <row r="608" ht="93.75" customHeight="1" x14ac:dyDescent="0.4"/>
    <row r="609" ht="93.75" customHeight="1" x14ac:dyDescent="0.4"/>
    <row r="610" ht="93.75" customHeight="1" x14ac:dyDescent="0.4"/>
    <row r="611" ht="93.75" customHeight="1" x14ac:dyDescent="0.4"/>
    <row r="612" ht="93.75" customHeight="1" x14ac:dyDescent="0.4"/>
    <row r="613" ht="93.75" customHeight="1" x14ac:dyDescent="0.4"/>
    <row r="614" ht="93.75" customHeight="1" x14ac:dyDescent="0.4"/>
    <row r="615" ht="93.75" customHeight="1" x14ac:dyDescent="0.4"/>
    <row r="616" ht="93.75" customHeight="1" x14ac:dyDescent="0.4"/>
    <row r="617" ht="93.75" customHeight="1" x14ac:dyDescent="0.4"/>
    <row r="618" ht="93.75" customHeight="1" x14ac:dyDescent="0.4"/>
    <row r="619" ht="93.75" customHeight="1" x14ac:dyDescent="0.4"/>
    <row r="620" ht="93.75" customHeight="1" x14ac:dyDescent="0.4"/>
    <row r="621" ht="93.75" customHeight="1" x14ac:dyDescent="0.4"/>
    <row r="622" ht="93.75" customHeight="1" x14ac:dyDescent="0.4"/>
    <row r="623" ht="93.75" customHeight="1" x14ac:dyDescent="0.4"/>
    <row r="624" ht="93.75" customHeight="1" x14ac:dyDescent="0.4"/>
    <row r="625" ht="93.75" customHeight="1" x14ac:dyDescent="0.4"/>
    <row r="626" ht="93.75" customHeight="1" x14ac:dyDescent="0.4"/>
    <row r="627" ht="93.75" customHeight="1" x14ac:dyDescent="0.4"/>
    <row r="628" ht="93.75" customHeight="1" x14ac:dyDescent="0.4"/>
    <row r="629" ht="93.75" customHeight="1" x14ac:dyDescent="0.4"/>
    <row r="630" ht="93.75" customHeight="1" x14ac:dyDescent="0.4"/>
    <row r="631" ht="93.75" customHeight="1" x14ac:dyDescent="0.4"/>
    <row r="632" ht="93.75" customHeight="1" x14ac:dyDescent="0.4"/>
    <row r="633" ht="93.75" customHeight="1" x14ac:dyDescent="0.4"/>
    <row r="634" ht="93.75" customHeight="1" x14ac:dyDescent="0.4"/>
    <row r="635" ht="93.75" customHeight="1" x14ac:dyDescent="0.4"/>
    <row r="636" ht="93.75" customHeight="1" x14ac:dyDescent="0.4"/>
    <row r="637" ht="93.75" customHeight="1" x14ac:dyDescent="0.4"/>
    <row r="638" ht="93.75" customHeight="1" x14ac:dyDescent="0.4"/>
    <row r="639" ht="93.75" customHeight="1" x14ac:dyDescent="0.4"/>
    <row r="640" ht="93.75" customHeight="1" x14ac:dyDescent="0.4"/>
    <row r="641" ht="93.75" customHeight="1" x14ac:dyDescent="0.4"/>
    <row r="642" ht="93.75" customHeight="1" x14ac:dyDescent="0.4"/>
    <row r="643" ht="93.75" customHeight="1" x14ac:dyDescent="0.4"/>
    <row r="644" ht="93.75" customHeight="1" x14ac:dyDescent="0.4"/>
    <row r="645" ht="93.75" customHeight="1" x14ac:dyDescent="0.4"/>
    <row r="646" ht="93.75" customHeight="1" x14ac:dyDescent="0.4"/>
    <row r="647" ht="93.75" customHeight="1" x14ac:dyDescent="0.4"/>
    <row r="648" ht="93.75" customHeight="1" x14ac:dyDescent="0.4"/>
    <row r="649" ht="93.75" customHeight="1" x14ac:dyDescent="0.4"/>
    <row r="650" ht="93.75" customHeight="1" x14ac:dyDescent="0.4"/>
    <row r="651" ht="93.75" customHeight="1" x14ac:dyDescent="0.4"/>
    <row r="652" ht="93.75" customHeight="1" x14ac:dyDescent="0.4"/>
    <row r="653" ht="93.75" customHeight="1" x14ac:dyDescent="0.4"/>
    <row r="654" ht="93.75" customHeight="1" x14ac:dyDescent="0.4"/>
    <row r="655" ht="93.75" customHeight="1" x14ac:dyDescent="0.4"/>
    <row r="656" ht="93.75" customHeight="1" x14ac:dyDescent="0.4"/>
    <row r="657" ht="93.75" customHeight="1" x14ac:dyDescent="0.4"/>
    <row r="658" ht="93.75" customHeight="1" x14ac:dyDescent="0.4"/>
    <row r="659" ht="93.75" customHeight="1" x14ac:dyDescent="0.4"/>
    <row r="660" ht="93.75" customHeight="1" x14ac:dyDescent="0.4"/>
    <row r="661" ht="93.75" customHeight="1" x14ac:dyDescent="0.4"/>
    <row r="662" ht="93.75" customHeight="1" x14ac:dyDescent="0.4"/>
    <row r="663" ht="93.75" customHeight="1" x14ac:dyDescent="0.4"/>
    <row r="664" ht="93.75" customHeight="1" x14ac:dyDescent="0.4"/>
    <row r="665" ht="93.75" customHeight="1" x14ac:dyDescent="0.4"/>
  </sheetData>
  <dataValidations count="1">
    <dataValidation type="list" allowBlank="1" showInputMessage="1" showErrorMessage="1" sqref="E4:E125" xr:uid="{FDD7D394-9740-D84C-866A-82FB42CB398A}">
      <formula1>InScopeOptions</formula1>
    </dataValidation>
  </dataValidations>
  <pageMargins left="0.7" right="0.7" top="0.75" bottom="0.75" header="0.3" footer="0.3"/>
  <ignoredErrors>
    <ignoredError sqref="B4:B125" calculatedColumn="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CC28-940C-B241-BA67-E1D7A3689098}">
  <dimension ref="B1:I7"/>
  <sheetViews>
    <sheetView workbookViewId="0">
      <selection activeCell="B4" sqref="B4"/>
    </sheetView>
  </sheetViews>
  <sheetFormatPr defaultColWidth="8.77734375" defaultRowHeight="14.4" x14ac:dyDescent="0.3"/>
  <cols>
    <col min="2" max="2" width="22" customWidth="1"/>
  </cols>
  <sheetData>
    <row r="1" spans="2:9" x14ac:dyDescent="0.3">
      <c r="B1" s="1" t="s">
        <v>149</v>
      </c>
    </row>
    <row r="2" spans="2:9" x14ac:dyDescent="0.3">
      <c r="B2" s="2" t="s">
        <v>4</v>
      </c>
    </row>
    <row r="3" spans="2:9" x14ac:dyDescent="0.3">
      <c r="B3" s="2" t="s">
        <v>2</v>
      </c>
    </row>
    <row r="4" spans="2:9" x14ac:dyDescent="0.3">
      <c r="B4" s="2" t="s">
        <v>3</v>
      </c>
      <c r="I4" s="2" t="s">
        <v>4</v>
      </c>
    </row>
    <row r="5" spans="2:9" x14ac:dyDescent="0.3">
      <c r="B5" s="2" t="s">
        <v>6</v>
      </c>
      <c r="F5" s="2" t="s">
        <v>3</v>
      </c>
      <c r="I5" s="2" t="s">
        <v>2</v>
      </c>
    </row>
    <row r="6" spans="2:9" x14ac:dyDescent="0.3">
      <c r="I6" s="2" t="s">
        <v>3</v>
      </c>
    </row>
    <row r="7" spans="2:9" x14ac:dyDescent="0.3">
      <c r="I7" s="2"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86C8AF2-2F92-4E39-B735-912C5D143E11}">
  <ds:schemaRefs/>
</ds:datastoreItem>
</file>

<file path=customXml/itemProps2.xml><?xml version="1.0" encoding="utf-8"?>
<ds:datastoreItem xmlns:ds="http://schemas.openxmlformats.org/officeDocument/2006/customXml" ds:itemID="{9A4FF8C0-092D-4FDC-BF2A-D41B36298D09}">
  <ds:schemaRefs/>
</ds:datastoreItem>
</file>

<file path=customXml/itemProps3.xml><?xml version="1.0" encoding="utf-8"?>
<ds:datastoreItem xmlns:ds="http://schemas.openxmlformats.org/officeDocument/2006/customXml" ds:itemID="{4380DE81-CEC8-4BB1-A53F-65454403F347}">
  <ds:schemaRefs/>
</ds:datastoreItem>
</file>

<file path=customXml/itemProps4.xml><?xml version="1.0" encoding="utf-8"?>
<ds:datastoreItem xmlns:ds="http://schemas.openxmlformats.org/officeDocument/2006/customXml" ds:itemID="{7965482F-04FB-41E8-A929-861DB0D7E539}">
  <ds:schemaRefs/>
</ds:datastoreItem>
</file>

<file path=customXml/itemProps5.xml><?xml version="1.0" encoding="utf-8"?>
<ds:datastoreItem xmlns:ds="http://schemas.openxmlformats.org/officeDocument/2006/customXml" ds:itemID="{2D689542-DF35-4E1A-BF3B-C536754A7516}">
  <ds:schemaRefs/>
</ds:datastoreItem>
</file>

<file path=customXml/itemProps6.xml><?xml version="1.0" encoding="utf-8"?>
<ds:datastoreItem xmlns:ds="http://schemas.openxmlformats.org/officeDocument/2006/customXml" ds:itemID="{85EB7B87-A68D-4A13-ADE3-5393359851BB}">
  <ds:schemaRefs/>
</ds:datastoreItem>
</file>

<file path=customXml/itemProps7.xml><?xml version="1.0" encoding="utf-8"?>
<ds:datastoreItem xmlns:ds="http://schemas.openxmlformats.org/officeDocument/2006/customXml" ds:itemID="{AB31964D-9378-427C-AE7A-40E10176368E}">
  <ds:schemaRefs>
    <ds:schemaRef ds:uri="http://schemas.microsoft.com/DataMashup"/>
  </ds:schemaRefs>
</ds:datastoreItem>
</file>

<file path=customXml/itemProps8.xml><?xml version="1.0" encoding="utf-8"?>
<ds:datastoreItem xmlns:ds="http://schemas.openxmlformats.org/officeDocument/2006/customXml" ds:itemID="{B20FBF0F-0F1A-45EC-905E-461B170FC598}">
  <ds:schemaRefs/>
</ds:datastoreItem>
</file>

<file path=customXml/itemProps9.xml><?xml version="1.0" encoding="utf-8"?>
<ds:datastoreItem xmlns:ds="http://schemas.openxmlformats.org/officeDocument/2006/customXml" ds:itemID="{0483F41F-77DD-431A-BB3F-1D643256E826}">
  <ds:schemaRefs/>
</ds:datastoreItem>
</file>

<file path=customXml/itemProps10.xml><?xml version="1.0" encoding="utf-8"?>
<ds:datastoreItem xmlns:ds="http://schemas.openxmlformats.org/officeDocument/2006/customXml" ds:itemID="{8922BEDD-9F02-4955-940A-820264276B0E}">
  <ds:schemaRefs/>
</ds:datastoreItem>
</file>

<file path=customXml/itemProps11.xml><?xml version="1.0" encoding="utf-8"?>
<ds:datastoreItem xmlns:ds="http://schemas.openxmlformats.org/officeDocument/2006/customXml" ds:itemID="{13220EED-D405-44D4-9B72-EC2A9F29A5A9}">
  <ds:schemaRefs/>
</ds:datastoreItem>
</file>

<file path=customXml/itemProps12.xml><?xml version="1.0" encoding="utf-8"?>
<ds:datastoreItem xmlns:ds="http://schemas.openxmlformats.org/officeDocument/2006/customXml" ds:itemID="{78397EB4-3107-449C-8FF2-64C1C57EBC24}">
  <ds:schemaRefs/>
</ds:datastoreItem>
</file>

<file path=customXml/itemProps13.xml><?xml version="1.0" encoding="utf-8"?>
<ds:datastoreItem xmlns:ds="http://schemas.openxmlformats.org/officeDocument/2006/customXml" ds:itemID="{D3E64365-B583-4B08-8144-F6DA392804EE}">
  <ds:schemaRefs/>
</ds:datastoreItem>
</file>

<file path=customXml/itemProps14.xml><?xml version="1.0" encoding="utf-8"?>
<ds:datastoreItem xmlns:ds="http://schemas.openxmlformats.org/officeDocument/2006/customXml" ds:itemID="{D5FD241E-11CD-4117-AD7F-148A8CD205EA}">
  <ds:schemaRefs/>
</ds:datastoreItem>
</file>

<file path=customXml/itemProps15.xml><?xml version="1.0" encoding="utf-8"?>
<ds:datastoreItem xmlns:ds="http://schemas.openxmlformats.org/officeDocument/2006/customXml" ds:itemID="{05C87705-9867-479B-8F12-E325B4CD01A8}">
  <ds:schemaRefs/>
</ds:datastoreItem>
</file>

<file path=customXml/itemProps16.xml><?xml version="1.0" encoding="utf-8"?>
<ds:datastoreItem xmlns:ds="http://schemas.openxmlformats.org/officeDocument/2006/customXml" ds:itemID="{6055346F-5C28-47DC-886E-684C5EBA0390}">
  <ds:schemaRefs/>
</ds:datastoreItem>
</file>

<file path=customXml/itemProps17.xml><?xml version="1.0" encoding="utf-8"?>
<ds:datastoreItem xmlns:ds="http://schemas.openxmlformats.org/officeDocument/2006/customXml" ds:itemID="{04FD2643-3521-4166-B2B2-5567BE61C0A9}">
  <ds:schemaRefs/>
</ds:datastoreItem>
</file>

<file path=customXml/itemProps18.xml><?xml version="1.0" encoding="utf-8"?>
<ds:datastoreItem xmlns:ds="http://schemas.openxmlformats.org/officeDocument/2006/customXml" ds:itemID="{1272EECC-93D3-4F08-9817-F623068F935E}">
  <ds:schemaRefs/>
</ds:datastoreItem>
</file>

<file path=customXml/itemProps19.xml><?xml version="1.0" encoding="utf-8"?>
<ds:datastoreItem xmlns:ds="http://schemas.openxmlformats.org/officeDocument/2006/customXml" ds:itemID="{25AC591E-E8CF-4064-9746-7858F7FFED22}">
  <ds:schemaRefs/>
</ds:datastoreItem>
</file>

<file path=customXml/itemProps20.xml><?xml version="1.0" encoding="utf-8"?>
<ds:datastoreItem xmlns:ds="http://schemas.openxmlformats.org/officeDocument/2006/customXml" ds:itemID="{C85A2517-D7D9-44DB-A2B8-280269BDC708}">
  <ds:schemaRefs/>
</ds:datastoreItem>
</file>

<file path=customXml/itemProps21.xml><?xml version="1.0" encoding="utf-8"?>
<ds:datastoreItem xmlns:ds="http://schemas.openxmlformats.org/officeDocument/2006/customXml" ds:itemID="{955EEE1E-85BF-42C7-9554-29F2BBEC77EE}">
  <ds:schemaRefs/>
</ds:datastoreItem>
</file>

<file path=customXml/itemProps22.xml><?xml version="1.0" encoding="utf-8"?>
<ds:datastoreItem xmlns:ds="http://schemas.openxmlformats.org/officeDocument/2006/customXml" ds:itemID="{92CE7B0B-7A4F-4489-87B7-DD0279EA3520}">
  <ds:schemaRefs/>
</ds:datastoreItem>
</file>

<file path=customXml/itemProps23.xml><?xml version="1.0" encoding="utf-8"?>
<ds:datastoreItem xmlns:ds="http://schemas.openxmlformats.org/officeDocument/2006/customXml" ds:itemID="{53495C9A-BE17-4CC6-A51E-DAB72560E273}">
  <ds:schemaRefs/>
</ds:datastoreItem>
</file>

<file path=customXml/itemProps24.xml><?xml version="1.0" encoding="utf-8"?>
<ds:datastoreItem xmlns:ds="http://schemas.openxmlformats.org/officeDocument/2006/customXml" ds:itemID="{0EEA6E77-36A3-4836-9E7F-217161C402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Pivots</vt:lpstr>
      <vt:lpstr>Sheet1</vt:lpstr>
      <vt:lpstr>Requirements</vt:lpstr>
      <vt:lpstr>Dropdowns</vt:lpstr>
      <vt:lpstr>InScopeOptions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DORA Gap Assessment Template</dc:title>
  <dc:creator>allaboutgrc.com</dc:creator>
  <cp:keywords>Template; Gap Assessment; DORA; Regulation</cp:keywords>
  <cp:lastModifiedBy>Mohamed Amin AYED</cp:lastModifiedBy>
  <dcterms:created xsi:type="dcterms:W3CDTF">2015-06-05T18:19:34Z</dcterms:created>
  <dcterms:modified xsi:type="dcterms:W3CDTF">2026-09-16T21:32:00Z</dcterms:modified>
  <cp:category>Template</cp:category>
</cp:coreProperties>
</file>